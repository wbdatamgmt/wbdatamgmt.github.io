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tgurjot/UNICEF/Data Management Training/Final Materials/"/>
    </mc:Choice>
  </mc:AlternateContent>
  <xr:revisionPtr revIDLastSave="0" documentId="13_ncr:1_{D98FC7F7-3AEC-6445-8D15-DD06E914C9C9}" xr6:coauthVersionLast="45" xr6:coauthVersionMax="45" xr10:uidLastSave="{00000000-0000-0000-0000-000000000000}"/>
  <bookViews>
    <workbookView xWindow="700" yWindow="700" windowWidth="26340" windowHeight="16860" activeTab="1" xr2:uid="{A3DD1473-9B4E-9843-9A61-46F7AF9EF67C}"/>
  </bookViews>
  <sheets>
    <sheet name="Data Validation" sheetId="1" r:id="rId1"/>
    <sheet name="Conditional Formatting" sheetId="3" r:id="rId2"/>
    <sheet name="IF Statements" sheetId="4" r:id="rId3"/>
    <sheet name="Pivot Tables" sheetId="6" r:id="rId4"/>
    <sheet name="VLOOKUP" sheetId="8" r:id="rId5"/>
    <sheet name="INDEX MATCH" sheetId="9" r:id="rId6"/>
    <sheet name="Enrolment Data" sheetId="2" r:id="rId7"/>
    <sheet name="Infrastructure Data" sheetId="7" r:id="rId8"/>
  </sheets>
  <definedNames>
    <definedName name="_xlnm._FilterDatabase" localSheetId="0" hidden="1">'Data Validation'!$A$1:$S$471</definedName>
    <definedName name="_xlnm._FilterDatabase" localSheetId="6" hidden="1">'Enrolment Data'!$A$1:$T$471</definedName>
    <definedName name="_xlnm._FilterDatabase" localSheetId="2" hidden="1">'IF Statements'!$A$1:$U$31</definedName>
    <definedName name="_xlnm._FilterDatabase" localSheetId="5" hidden="1">'INDEX MATCH'!$A$1:$J$11</definedName>
    <definedName name="_xlnm._FilterDatabase" localSheetId="7" hidden="1">'Infrastructure Data'!$A$1:$L$471</definedName>
    <definedName name="_xlnm._FilterDatabase" localSheetId="4" hidden="1">VLOOKUP!$F$2:$F$11</definedName>
  </definedNames>
  <calcPr calcId="191029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88" i="2" l="1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287" i="2"/>
  <c r="T286" i="2"/>
  <c r="T246" i="2"/>
  <c r="T245" i="2"/>
  <c r="T244" i="2"/>
  <c r="T243" i="2"/>
  <c r="T242" i="2"/>
  <c r="T241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02" i="2"/>
  <c r="T101" i="2"/>
  <c r="T100" i="2"/>
  <c r="T60" i="2"/>
  <c r="T59" i="2"/>
  <c r="T58" i="2"/>
  <c r="T57" i="2"/>
  <c r="F2" i="9" l="1"/>
  <c r="G2" i="9" s="1"/>
  <c r="F3" i="8"/>
  <c r="F4" i="8"/>
  <c r="F5" i="8"/>
  <c r="F6" i="8"/>
  <c r="F7" i="8"/>
  <c r="F8" i="8"/>
  <c r="F9" i="8"/>
  <c r="F10" i="8"/>
  <c r="F11" i="8"/>
  <c r="F2" i="8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389" i="2"/>
  <c r="T390" i="2"/>
  <c r="T391" i="2"/>
  <c r="T392" i="2"/>
  <c r="T393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</calcChain>
</file>

<file path=xl/sharedStrings.xml><?xml version="1.0" encoding="utf-8"?>
<sst xmlns="http://schemas.openxmlformats.org/spreadsheetml/2006/main" count="7200" uniqueCount="545">
  <si>
    <t>District</t>
  </si>
  <si>
    <t>School Name</t>
  </si>
  <si>
    <t>UDISE Code</t>
  </si>
  <si>
    <t>Management</t>
  </si>
  <si>
    <t>Highest Class</t>
  </si>
  <si>
    <t>Lowest Class</t>
  </si>
  <si>
    <t>Boys Enrolment</t>
  </si>
  <si>
    <t>Girls Enrolment</t>
  </si>
  <si>
    <t>Total Enrolment</t>
  </si>
  <si>
    <t>SC</t>
  </si>
  <si>
    <t>ST</t>
  </si>
  <si>
    <t>Male Teachers</t>
  </si>
  <si>
    <t>Female Teachers</t>
  </si>
  <si>
    <t>Total Teachers</t>
  </si>
  <si>
    <t>General</t>
  </si>
  <si>
    <t>OBC-A</t>
  </si>
  <si>
    <t>OBC-B</t>
  </si>
  <si>
    <t>Kalimpong</t>
  </si>
  <si>
    <t>Block</t>
  </si>
  <si>
    <t>Kalimpong - 1</t>
  </si>
  <si>
    <t>Kalimpong - 2</t>
  </si>
  <si>
    <t>S. No.</t>
  </si>
  <si>
    <t>Gorubathan</t>
  </si>
  <si>
    <t>Class 8</t>
  </si>
  <si>
    <t>Class 12</t>
  </si>
  <si>
    <t>School 1</t>
  </si>
  <si>
    <t>School 2</t>
  </si>
  <si>
    <t>School 3</t>
  </si>
  <si>
    <t>School 4</t>
  </si>
  <si>
    <t>School 5</t>
  </si>
  <si>
    <t>School 6</t>
  </si>
  <si>
    <t>School 7</t>
  </si>
  <si>
    <t>School 8</t>
  </si>
  <si>
    <t>School 9</t>
  </si>
  <si>
    <t>School 10</t>
  </si>
  <si>
    <t>Government Sponsored</t>
  </si>
  <si>
    <t>Department of Education</t>
  </si>
  <si>
    <t>Madrasa Recognized</t>
  </si>
  <si>
    <t>Class 10</t>
  </si>
  <si>
    <t>Class 5</t>
  </si>
  <si>
    <t>Class 4</t>
  </si>
  <si>
    <t>Pre-Primary</t>
  </si>
  <si>
    <t>Class 1</t>
  </si>
  <si>
    <t>Class 6</t>
  </si>
  <si>
    <t>Class 9</t>
  </si>
  <si>
    <t>School 11</t>
  </si>
  <si>
    <t>School 12</t>
  </si>
  <si>
    <t>School 13</t>
  </si>
  <si>
    <t>School 14</t>
  </si>
  <si>
    <t>School 15</t>
  </si>
  <si>
    <t>School 16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</si>
  <si>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</si>
  <si>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</si>
  <si>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</si>
  <si>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</si>
  <si>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</si>
  <si>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</si>
  <si>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</si>
  <si>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</si>
  <si>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</si>
  <si>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</si>
  <si>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</si>
  <si>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</si>
  <si>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</si>
  <si>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</si>
  <si>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</si>
  <si>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</si>
  <si>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</si>
  <si>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</si>
  <si>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</si>
  <si>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</si>
  <si>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</si>
  <si>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</si>
  <si>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</si>
  <si>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</si>
  <si>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</si>
  <si>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</si>
  <si>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</si>
  <si>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</si>
  <si>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</si>
  <si>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</si>
  <si>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</si>
  <si>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</si>
  <si>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</si>
  <si>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</si>
  <si>
    <t>School 51</t>
  </si>
  <si>
    <t>School 52</t>
  </si>
  <si>
    <t>School 53</t>
  </si>
  <si>
    <t>School 54</t>
  </si>
  <si>
    <t>School 55</t>
  </si>
  <si>
    <t>School 56</t>
  </si>
  <si>
    <t>School 57</t>
  </si>
  <si>
    <t>School 58</t>
  </si>
  <si>
    <t>School 59</t>
  </si>
  <si>
    <t>School 60</t>
  </si>
  <si>
    <t>School 61</t>
  </si>
  <si>
    <t>School 62</t>
  </si>
  <si>
    <t>School 63</t>
  </si>
  <si>
    <t>School 64</t>
  </si>
  <si>
    <t>School 65</t>
  </si>
  <si>
    <t>School 66</t>
  </si>
  <si>
    <t>School 67</t>
  </si>
  <si>
    <t>School 68</t>
  </si>
  <si>
    <t>School 69</t>
  </si>
  <si>
    <t>School 70</t>
  </si>
  <si>
    <t>School 71</t>
  </si>
  <si>
    <t>School 72</t>
  </si>
  <si>
    <t>School 73</t>
  </si>
  <si>
    <t>School 74</t>
  </si>
  <si>
    <t>School 75</t>
  </si>
  <si>
    <t>School 76</t>
  </si>
  <si>
    <t>School 77</t>
  </si>
  <si>
    <t>School 78</t>
  </si>
  <si>
    <t>School 79</t>
  </si>
  <si>
    <t>School 80</t>
  </si>
  <si>
    <t>School 81</t>
  </si>
  <si>
    <t>School 82</t>
  </si>
  <si>
    <t>School 83</t>
  </si>
  <si>
    <t>School 84</t>
  </si>
  <si>
    <t>School 85</t>
  </si>
  <si>
    <t>School 86</t>
  </si>
  <si>
    <t>School 87</t>
  </si>
  <si>
    <t>School 88</t>
  </si>
  <si>
    <t>School 89</t>
  </si>
  <si>
    <t>School 90</t>
  </si>
  <si>
    <t>School 91</t>
  </si>
  <si>
    <t>School 92</t>
  </si>
  <si>
    <t>School 93</t>
  </si>
  <si>
    <t>School 94</t>
  </si>
  <si>
    <t>School 95</t>
  </si>
  <si>
    <t>School 96</t>
  </si>
  <si>
    <t>School 97</t>
  </si>
  <si>
    <t>School 98</t>
  </si>
  <si>
    <t>School 99</t>
  </si>
  <si>
    <t>School 100</t>
  </si>
  <si>
    <t>School 101</t>
  </si>
  <si>
    <t>School 102</t>
  </si>
  <si>
    <t>School 103</t>
  </si>
  <si>
    <t>School 104</t>
  </si>
  <si>
    <t>School 105</t>
  </si>
  <si>
    <t>School 106</t>
  </si>
  <si>
    <t>School 107</t>
  </si>
  <si>
    <t>School 108</t>
  </si>
  <si>
    <t>School 109</t>
  </si>
  <si>
    <t>School 110</t>
  </si>
  <si>
    <t>School 111</t>
  </si>
  <si>
    <t>School 112</t>
  </si>
  <si>
    <t>School 113</t>
  </si>
  <si>
    <t>School 114</t>
  </si>
  <si>
    <t>School 115</t>
  </si>
  <si>
    <t>School 116</t>
  </si>
  <si>
    <t>School 117</t>
  </si>
  <si>
    <t>School 118</t>
  </si>
  <si>
    <t>School 119</t>
  </si>
  <si>
    <t>School 120</t>
  </si>
  <si>
    <t>School 121</t>
  </si>
  <si>
    <t>School 122</t>
  </si>
  <si>
    <t>School 123</t>
  </si>
  <si>
    <t>School 124</t>
  </si>
  <si>
    <t>School 125</t>
  </si>
  <si>
    <t>School 126</t>
  </si>
  <si>
    <t>School 127</t>
  </si>
  <si>
    <t>School 128</t>
  </si>
  <si>
    <t>School 129</t>
  </si>
  <si>
    <t>School 130</t>
  </si>
  <si>
    <t>School 131</t>
  </si>
  <si>
    <t>School 132</t>
  </si>
  <si>
    <t>School 133</t>
  </si>
  <si>
    <t>School 134</t>
  </si>
  <si>
    <t>School 135</t>
  </si>
  <si>
    <t>School 136</t>
  </si>
  <si>
    <t>School 137</t>
  </si>
  <si>
    <t>School 138</t>
  </si>
  <si>
    <t>School 139</t>
  </si>
  <si>
    <t>School 140</t>
  </si>
  <si>
    <t>School 141</t>
  </si>
  <si>
    <t>School 142</t>
  </si>
  <si>
    <t>School 143</t>
  </si>
  <si>
    <t>School 144</t>
  </si>
  <si>
    <t>School 145</t>
  </si>
  <si>
    <t>School 146</t>
  </si>
  <si>
    <t>School 147</t>
  </si>
  <si>
    <t>School 148</t>
  </si>
  <si>
    <t>School 149</t>
  </si>
  <si>
    <t>School 150</t>
  </si>
  <si>
    <t>School 151</t>
  </si>
  <si>
    <t>School 152</t>
  </si>
  <si>
    <t>School 153</t>
  </si>
  <si>
    <t>School 154</t>
  </si>
  <si>
    <t>School 155</t>
  </si>
  <si>
    <t>School 156</t>
  </si>
  <si>
    <t>School 157</t>
  </si>
  <si>
    <t>School 158</t>
  </si>
  <si>
    <t>School 159</t>
  </si>
  <si>
    <t>School 160</t>
  </si>
  <si>
    <t>School 161</t>
  </si>
  <si>
    <t>School 162</t>
  </si>
  <si>
    <t>School 163</t>
  </si>
  <si>
    <t>School 164</t>
  </si>
  <si>
    <t>School 165</t>
  </si>
  <si>
    <t>School 166</t>
  </si>
  <si>
    <t>School 167</t>
  </si>
  <si>
    <t>School 168</t>
  </si>
  <si>
    <t>School 169</t>
  </si>
  <si>
    <t>School 170</t>
  </si>
  <si>
    <t>School 171</t>
  </si>
  <si>
    <t>School 172</t>
  </si>
  <si>
    <t>School 173</t>
  </si>
  <si>
    <t>School 174</t>
  </si>
  <si>
    <t>School 175</t>
  </si>
  <si>
    <t>School 176</t>
  </si>
  <si>
    <t>School 177</t>
  </si>
  <si>
    <t>School 178</t>
  </si>
  <si>
    <t>School 179</t>
  </si>
  <si>
    <t>School 180</t>
  </si>
  <si>
    <t>School 181</t>
  </si>
  <si>
    <t>School 182</t>
  </si>
  <si>
    <t>School 183</t>
  </si>
  <si>
    <t>School 184</t>
  </si>
  <si>
    <t>School 185</t>
  </si>
  <si>
    <t>School 186</t>
  </si>
  <si>
    <t>School 187</t>
  </si>
  <si>
    <t>School 188</t>
  </si>
  <si>
    <t>School 189</t>
  </si>
  <si>
    <t>School 190</t>
  </si>
  <si>
    <t>School 191</t>
  </si>
  <si>
    <t>School 192</t>
  </si>
  <si>
    <t>School 193</t>
  </si>
  <si>
    <t>School 194</t>
  </si>
  <si>
    <t>School 195</t>
  </si>
  <si>
    <t>School 196</t>
  </si>
  <si>
    <t>School 197</t>
  </si>
  <si>
    <t>School 198</t>
  </si>
  <si>
    <t>School 199</t>
  </si>
  <si>
    <t>School 200</t>
  </si>
  <si>
    <t>School 201</t>
  </si>
  <si>
    <t>School 202</t>
  </si>
  <si>
    <t>School 203</t>
  </si>
  <si>
    <t>School 204</t>
  </si>
  <si>
    <t>School 205</t>
  </si>
  <si>
    <t>School 206</t>
  </si>
  <si>
    <t>School 207</t>
  </si>
  <si>
    <t>School 208</t>
  </si>
  <si>
    <t>School 209</t>
  </si>
  <si>
    <t>School 210</t>
  </si>
  <si>
    <t>School 211</t>
  </si>
  <si>
    <t>School 212</t>
  </si>
  <si>
    <t>School 213</t>
  </si>
  <si>
    <t>School 214</t>
  </si>
  <si>
    <t>School 215</t>
  </si>
  <si>
    <t>School 216</t>
  </si>
  <si>
    <t>School 217</t>
  </si>
  <si>
    <t>School 218</t>
  </si>
  <si>
    <t>School 219</t>
  </si>
  <si>
    <t>School 220</t>
  </si>
  <si>
    <t>School 221</t>
  </si>
  <si>
    <t>School 222</t>
  </si>
  <si>
    <t>School 223</t>
  </si>
  <si>
    <t>School 224</t>
  </si>
  <si>
    <t>School 225</t>
  </si>
  <si>
    <t>School 226</t>
  </si>
  <si>
    <t>School 227</t>
  </si>
  <si>
    <t>School 228</t>
  </si>
  <si>
    <t>School 229</t>
  </si>
  <si>
    <t>School 230</t>
  </si>
  <si>
    <t>School 231</t>
  </si>
  <si>
    <t>School 232</t>
  </si>
  <si>
    <t>School 233</t>
  </si>
  <si>
    <t>School 234</t>
  </si>
  <si>
    <t>School 235</t>
  </si>
  <si>
    <t>School 236</t>
  </si>
  <si>
    <t>School 237</t>
  </si>
  <si>
    <t>School 238</t>
  </si>
  <si>
    <t>School 239</t>
  </si>
  <si>
    <t>School 240</t>
  </si>
  <si>
    <t>School 241</t>
  </si>
  <si>
    <t>School 242</t>
  </si>
  <si>
    <t>School 243</t>
  </si>
  <si>
    <t>School 244</t>
  </si>
  <si>
    <t>School 245</t>
  </si>
  <si>
    <t>School 246</t>
  </si>
  <si>
    <t>School 247</t>
  </si>
  <si>
    <t>School 248</t>
  </si>
  <si>
    <t>School 249</t>
  </si>
  <si>
    <t>School 250</t>
  </si>
  <si>
    <t>School 251</t>
  </si>
  <si>
    <t>School 252</t>
  </si>
  <si>
    <t>School 253</t>
  </si>
  <si>
    <t>School 254</t>
  </si>
  <si>
    <t>School 255</t>
  </si>
  <si>
    <t>School 256</t>
  </si>
  <si>
    <t>School 257</t>
  </si>
  <si>
    <t>School 258</t>
  </si>
  <si>
    <t>School 259</t>
  </si>
  <si>
    <t>School 260</t>
  </si>
  <si>
    <t>School 261</t>
  </si>
  <si>
    <t>School 262</t>
  </si>
  <si>
    <t>School 263</t>
  </si>
  <si>
    <t>School 264</t>
  </si>
  <si>
    <t>School 265</t>
  </si>
  <si>
    <t>School 266</t>
  </si>
  <si>
    <t>School 267</t>
  </si>
  <si>
    <t>School 268</t>
  </si>
  <si>
    <t>School 269</t>
  </si>
  <si>
    <t>School 270</t>
  </si>
  <si>
    <t>School 271</t>
  </si>
  <si>
    <t>School 272</t>
  </si>
  <si>
    <t>School 273</t>
  </si>
  <si>
    <t>School 274</t>
  </si>
  <si>
    <t>School 275</t>
  </si>
  <si>
    <t>School 276</t>
  </si>
  <si>
    <t>School 277</t>
  </si>
  <si>
    <t>School 278</t>
  </si>
  <si>
    <t>School 279</t>
  </si>
  <si>
    <t>School 280</t>
  </si>
  <si>
    <t>School 281</t>
  </si>
  <si>
    <t>School 282</t>
  </si>
  <si>
    <t>School 283</t>
  </si>
  <si>
    <t>School 284</t>
  </si>
  <si>
    <t>School 285</t>
  </si>
  <si>
    <t>School 286</t>
  </si>
  <si>
    <t>School 287</t>
  </si>
  <si>
    <t>School 288</t>
  </si>
  <si>
    <t>School 289</t>
  </si>
  <si>
    <t>School 290</t>
  </si>
  <si>
    <t>School 291</t>
  </si>
  <si>
    <t>School 292</t>
  </si>
  <si>
    <t>School 293</t>
  </si>
  <si>
    <t>School 294</t>
  </si>
  <si>
    <t>School 295</t>
  </si>
  <si>
    <t>School 296</t>
  </si>
  <si>
    <t>School 297</t>
  </si>
  <si>
    <t>School 298</t>
  </si>
  <si>
    <t>School 299</t>
  </si>
  <si>
    <t>School 300</t>
  </si>
  <si>
    <t>School 301</t>
  </si>
  <si>
    <t>School 302</t>
  </si>
  <si>
    <t>School 303</t>
  </si>
  <si>
    <t>School 304</t>
  </si>
  <si>
    <t>School 305</t>
  </si>
  <si>
    <t>School 306</t>
  </si>
  <si>
    <t>School 307</t>
  </si>
  <si>
    <t>School 308</t>
  </si>
  <si>
    <t>School 309</t>
  </si>
  <si>
    <t>School 310</t>
  </si>
  <si>
    <t>School 311</t>
  </si>
  <si>
    <t>School 312</t>
  </si>
  <si>
    <t>School 313</t>
  </si>
  <si>
    <t>School 314</t>
  </si>
  <si>
    <t>School 315</t>
  </si>
  <si>
    <t>School 316</t>
  </si>
  <si>
    <t>School 317</t>
  </si>
  <si>
    <t>School 318</t>
  </si>
  <si>
    <t>School 319</t>
  </si>
  <si>
    <t>School 320</t>
  </si>
  <si>
    <t>School 321</t>
  </si>
  <si>
    <t>School 322</t>
  </si>
  <si>
    <t>School 323</t>
  </si>
  <si>
    <t>School 324</t>
  </si>
  <si>
    <t>School 325</t>
  </si>
  <si>
    <t>School 326</t>
  </si>
  <si>
    <t>School 327</t>
  </si>
  <si>
    <t>School 328</t>
  </si>
  <si>
    <t>School 329</t>
  </si>
  <si>
    <t>School 330</t>
  </si>
  <si>
    <t>School 331</t>
  </si>
  <si>
    <t>School 332</t>
  </si>
  <si>
    <t>School 333</t>
  </si>
  <si>
    <t>School 334</t>
  </si>
  <si>
    <t>School 335</t>
  </si>
  <si>
    <t>School 336</t>
  </si>
  <si>
    <t>School 337</t>
  </si>
  <si>
    <t>School 338</t>
  </si>
  <si>
    <t>School 339</t>
  </si>
  <si>
    <t>School 340</t>
  </si>
  <si>
    <t>School 341</t>
  </si>
  <si>
    <t>School 342</t>
  </si>
  <si>
    <t>School 343</t>
  </si>
  <si>
    <t>School 344</t>
  </si>
  <si>
    <t>School 345</t>
  </si>
  <si>
    <t>School 346</t>
  </si>
  <si>
    <t>School 347</t>
  </si>
  <si>
    <t>School 348</t>
  </si>
  <si>
    <t>School 349</t>
  </si>
  <si>
    <t>School 350</t>
  </si>
  <si>
    <t>School 351</t>
  </si>
  <si>
    <t>School 352</t>
  </si>
  <si>
    <t>School 353</t>
  </si>
  <si>
    <t>School 354</t>
  </si>
  <si>
    <t>School 355</t>
  </si>
  <si>
    <t>School 356</t>
  </si>
  <si>
    <t>School 357</t>
  </si>
  <si>
    <t>School 358</t>
  </si>
  <si>
    <t>School 359</t>
  </si>
  <si>
    <t>School 360</t>
  </si>
  <si>
    <t>School 361</t>
  </si>
  <si>
    <t>School 362</t>
  </si>
  <si>
    <t>School 363</t>
  </si>
  <si>
    <t>School 364</t>
  </si>
  <si>
    <t>School 365</t>
  </si>
  <si>
    <t>School 366</t>
  </si>
  <si>
    <t>School 367</t>
  </si>
  <si>
    <t>School 368</t>
  </si>
  <si>
    <t>School 369</t>
  </si>
  <si>
    <t>School 370</t>
  </si>
  <si>
    <t>School 371</t>
  </si>
  <si>
    <t>School 372</t>
  </si>
  <si>
    <t>School 373</t>
  </si>
  <si>
    <t>School 374</t>
  </si>
  <si>
    <t>School 375</t>
  </si>
  <si>
    <t>School 376</t>
  </si>
  <si>
    <t>School 377</t>
  </si>
  <si>
    <t>School 378</t>
  </si>
  <si>
    <t>School 379</t>
  </si>
  <si>
    <t>School 380</t>
  </si>
  <si>
    <t>School 381</t>
  </si>
  <si>
    <t>School 382</t>
  </si>
  <si>
    <t>School 383</t>
  </si>
  <si>
    <t>School 384</t>
  </si>
  <si>
    <t>School 385</t>
  </si>
  <si>
    <t>School 386</t>
  </si>
  <si>
    <t>School 387</t>
  </si>
  <si>
    <t>School 388</t>
  </si>
  <si>
    <t>School 389</t>
  </si>
  <si>
    <t>School 390</t>
  </si>
  <si>
    <t>School 391</t>
  </si>
  <si>
    <t>School 392</t>
  </si>
  <si>
    <t>School 393</t>
  </si>
  <si>
    <t>School 394</t>
  </si>
  <si>
    <t>School 395</t>
  </si>
  <si>
    <t>School 396</t>
  </si>
  <si>
    <t>School 397</t>
  </si>
  <si>
    <t>School 398</t>
  </si>
  <si>
    <t>School 399</t>
  </si>
  <si>
    <t>School 400</t>
  </si>
  <si>
    <t>School 401</t>
  </si>
  <si>
    <t>School 402</t>
  </si>
  <si>
    <t>School 403</t>
  </si>
  <si>
    <t>School 404</t>
  </si>
  <si>
    <t>School 405</t>
  </si>
  <si>
    <t>School 406</t>
  </si>
  <si>
    <t>School 407</t>
  </si>
  <si>
    <t>School 408</t>
  </si>
  <si>
    <t>School 409</t>
  </si>
  <si>
    <t>School 410</t>
  </si>
  <si>
    <t>School 411</t>
  </si>
  <si>
    <t>School 412</t>
  </si>
  <si>
    <t>School 413</t>
  </si>
  <si>
    <t>School 414</t>
  </si>
  <si>
    <t>School 415</t>
  </si>
  <si>
    <t>School 416</t>
  </si>
  <si>
    <t>School 417</t>
  </si>
  <si>
    <t>School 418</t>
  </si>
  <si>
    <t>School 419</t>
  </si>
  <si>
    <t>School 420</t>
  </si>
  <si>
    <t>School 421</t>
  </si>
  <si>
    <t>School 422</t>
  </si>
  <si>
    <t>School 423</t>
  </si>
  <si>
    <t>School 424</t>
  </si>
  <si>
    <t>School 425</t>
  </si>
  <si>
    <t>School 426</t>
  </si>
  <si>
    <t>School 427</t>
  </si>
  <si>
    <t>School 428</t>
  </si>
  <si>
    <t>School 429</t>
  </si>
  <si>
    <t>School 430</t>
  </si>
  <si>
    <t>School 431</t>
  </si>
  <si>
    <t>School 432</t>
  </si>
  <si>
    <t>School 433</t>
  </si>
  <si>
    <t>School 434</t>
  </si>
  <si>
    <t>School 435</t>
  </si>
  <si>
    <t>School 436</t>
  </si>
  <si>
    <t>School 437</t>
  </si>
  <si>
    <t>School 438</t>
  </si>
  <si>
    <t>School 439</t>
  </si>
  <si>
    <t>School 440</t>
  </si>
  <si>
    <t>School 441</t>
  </si>
  <si>
    <t>School 442</t>
  </si>
  <si>
    <t>School 443</t>
  </si>
  <si>
    <t>School 444</t>
  </si>
  <si>
    <t>School 445</t>
  </si>
  <si>
    <t>School 446</t>
  </si>
  <si>
    <t>School 447</t>
  </si>
  <si>
    <t>School 448</t>
  </si>
  <si>
    <t>School 449</t>
  </si>
  <si>
    <t>School 450</t>
  </si>
  <si>
    <t>School 451</t>
  </si>
  <si>
    <t>School 452</t>
  </si>
  <si>
    <t>School 453</t>
  </si>
  <si>
    <t>School 454</t>
  </si>
  <si>
    <t>School 455</t>
  </si>
  <si>
    <t>School 456</t>
  </si>
  <si>
    <t>School 457</t>
  </si>
  <si>
    <t>School 458</t>
  </si>
  <si>
    <t>School 459</t>
  </si>
  <si>
    <t>School 460</t>
  </si>
  <si>
    <t>School 461</t>
  </si>
  <si>
    <t>School 462</t>
  </si>
  <si>
    <t>School 463</t>
  </si>
  <si>
    <t>School 464</t>
  </si>
  <si>
    <t>School 465</t>
  </si>
  <si>
    <t>School 466</t>
  </si>
  <si>
    <t>School 467</t>
  </si>
  <si>
    <t>School 468</t>
  </si>
  <si>
    <t>School 469</t>
  </si>
  <si>
    <t>School 470</t>
  </si>
  <si>
    <t>COUNTIF</t>
  </si>
  <si>
    <t>SUMIF</t>
  </si>
  <si>
    <t>Row Labels</t>
  </si>
  <si>
    <t>Grand Total</t>
  </si>
  <si>
    <t>Kalimpong Municipality</t>
  </si>
  <si>
    <t>Kalimpong-I</t>
  </si>
  <si>
    <t>Count of Management</t>
  </si>
  <si>
    <t>Kalimpong-II</t>
  </si>
  <si>
    <t>Safe Drinking Water</t>
  </si>
  <si>
    <t>Electricity</t>
  </si>
  <si>
    <t>Play Ground</t>
  </si>
  <si>
    <t>Library</t>
  </si>
  <si>
    <t>Boys Toilet</t>
  </si>
  <si>
    <t>Girls Toilet</t>
  </si>
  <si>
    <t>YES</t>
  </si>
  <si>
    <t>NO</t>
  </si>
  <si>
    <t>Electricity Available</t>
  </si>
  <si>
    <t>COUNTIFS</t>
  </si>
  <si>
    <t>SUMIFS</t>
  </si>
  <si>
    <t>Count number of schools where girls enrolment is more than 35</t>
  </si>
  <si>
    <t>Sum the total enrolment of schools where girls enrolment is more than 35</t>
  </si>
  <si>
    <t>Sum the total enrolment of schools where girls enrolment is more than 35 and total enrolment is more than 60</t>
  </si>
  <si>
    <t>Schools with more girls than boys</t>
  </si>
  <si>
    <t>Schools with more than 35 boys</t>
  </si>
  <si>
    <t>Schools with zero male or female teachers</t>
  </si>
  <si>
    <t>J31</t>
  </si>
  <si>
    <t>$J31</t>
  </si>
  <si>
    <t>$J$31</t>
  </si>
  <si>
    <t>J$31</t>
  </si>
  <si>
    <t>Mark schools where SC/ST/OBC enrolment is more than General enrolment</t>
  </si>
  <si>
    <t>IF</t>
  </si>
  <si>
    <t>Girls &gt; Boys</t>
  </si>
  <si>
    <t>SC/ST/OBC &gt; Gen</t>
  </si>
  <si>
    <t>Count the number of schools where girls enrolment is more than 35 and total enrolment is more than 65</t>
  </si>
  <si>
    <t>Minority Region</t>
  </si>
  <si>
    <t>INDEX</t>
  </si>
  <si>
    <t>MATCH</t>
  </si>
  <si>
    <t>Returns the row number of the lookup value</t>
  </si>
  <si>
    <t>Returns the value from the given row</t>
  </si>
  <si>
    <t>Schools with at least 15 SC/ST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</si>
</sst>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jot Sidhu" refreshedDate="45130.572296180559" createdVersion="6" refreshedVersion="6" minRefreshableVersion="3" recordCount="470" xr:uid="{A29FD44E-DF22-AD4F-B82F-03EEEC7ED450}">
  <cacheSource type="worksheet">
    <worksheetSource ref="A1:S471" sheet="Enrolment Data"/>
  </cacheSource>
  <cacheFields count="19">
    <cacheField name="S. No." numFmtId="0">
      <sharedItems containsSemiMixedTypes="0" containsString="0" containsNumber="1" containsInteger="1" minValue="1" maxValue="470"/>
    </cacheField>
    <cacheField name="District" numFmtId="0">
      <sharedItems/>
    </cacheField>
    <cacheField name="Block" numFmtId="0">
      <sharedItems count="4">
        <s v="Gorubathan"/>
        <s v="Kalimpong Municipality"/>
        <s v="Kalimpong-II"/>
        <s v="Kalimpong-I"/>
      </sharedItems>
    </cacheField>
    <cacheField name="School Name" numFmtId="0">
      <sharedItems/>
    </cacheField>
    <cacheField name="UDISE Code" numFmtId="0">
      <sharedItems containsSemiMixedTypes="0" containsString="0" containsNumber="1" containsInteger="1" minValue="19240100101" maxValue="19240401504"/>
    </cacheField>
    <cacheField name="Management" numFmtId="0">
      <sharedItems count="3">
        <s v="Government Sponsored"/>
        <s v="Department of Education"/>
        <s v="Madrasa Recognized"/>
      </sharedItems>
    </cacheField>
    <cacheField name="Highest Class" numFmtId="0">
      <sharedItems/>
    </cacheField>
    <cacheField name="Lowest Class" numFmtId="0">
      <sharedItems/>
    </cacheField>
    <cacheField name="Boys Enrolment" numFmtId="0">
      <sharedItems containsSemiMixedTypes="0" containsString="0" containsNumber="1" containsInteger="1" minValue="20" maxValue="40"/>
    </cacheField>
    <cacheField name="Girls Enrolment" numFmtId="0">
      <sharedItems containsSemiMixedTypes="0" containsString="0" containsNumber="1" containsInteger="1" minValue="20" maxValue="40"/>
    </cacheField>
    <cacheField name="Total Enrolment" numFmtId="0">
      <sharedItems containsSemiMixedTypes="0" containsString="0" containsNumber="1" containsInteger="1" minValue="40" maxValue="80"/>
    </cacheField>
    <cacheField name="General" numFmtId="0">
      <sharedItems containsSemiMixedTypes="0" containsString="0" containsNumber="1" containsInteger="1" minValue="12" maxValue="62"/>
    </cacheField>
    <cacheField name="SC" numFmtId="0">
      <sharedItems containsSemiMixedTypes="0" containsString="0" containsNumber="1" containsInteger="1" minValue="5" maxValue="10"/>
    </cacheField>
    <cacheField name="ST" numFmtId="0">
      <sharedItems containsSemiMixedTypes="0" containsString="0" containsNumber="1" containsInteger="1" minValue="5" maxValue="10"/>
    </cacheField>
    <cacheField name="OBC-A" numFmtId="0">
      <sharedItems containsSemiMixedTypes="0" containsString="0" containsNumber="1" containsInteger="1" minValue="5" maxValue="10"/>
    </cacheField>
    <cacheField name="OBC-B" numFmtId="0">
      <sharedItems containsSemiMixedTypes="0" containsString="0" containsNumber="1" containsInteger="1" minValue="5" maxValue="10"/>
    </cacheField>
    <cacheField name="Male Teachers" numFmtId="0">
      <sharedItems containsSemiMixedTypes="0" containsString="0" containsNumber="1" containsInteger="1" minValue="0" maxValue="10"/>
    </cacheField>
    <cacheField name="Female Teachers" numFmtId="0">
      <sharedItems containsSemiMixedTypes="0" containsString="0" containsNumber="1" containsInteger="1" minValue="0" maxValue="10"/>
    </cacheField>
    <cacheField name="Total Teacher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n v="1"/>
    <s v="Kalimpong"/>
    <x v="0"/>
    <s v="School 1"/>
    <n v="19240106801"/>
    <x v="0"/>
    <s v="Class 8"/>
    <s v="Pre-Primary"/>
    <n v="34"/>
    <n v="20"/>
    <n v="54"/>
    <n v="31"/>
    <n v="7"/>
    <n v="10"/>
    <n v="6"/>
    <n v="6"/>
    <n v="3"/>
    <n v="5"/>
    <n v="8"/>
  </r>
  <r>
    <n v="2"/>
    <s v="Kalimpong"/>
    <x v="0"/>
    <s v="School 2"/>
    <n v="19240106301"/>
    <x v="1"/>
    <s v="Class 10"/>
    <s v="Class 1"/>
    <n v="28"/>
    <n v="37"/>
    <n v="65"/>
    <n v="47"/>
    <n v="5"/>
    <n v="7"/>
    <n v="6"/>
    <n v="5"/>
    <n v="3"/>
    <n v="7"/>
    <n v="10"/>
  </r>
  <r>
    <n v="3"/>
    <s v="Kalimpong"/>
    <x v="0"/>
    <s v="School 3"/>
    <n v="19240106304"/>
    <x v="1"/>
    <s v="Class 5"/>
    <s v="Pre-Primary"/>
    <n v="40"/>
    <n v="23"/>
    <n v="63"/>
    <n v="38"/>
    <n v="5"/>
    <n v="10"/>
    <n v="10"/>
    <n v="8"/>
    <n v="4"/>
    <n v="4"/>
    <n v="8"/>
  </r>
  <r>
    <n v="4"/>
    <s v="Kalimpong"/>
    <x v="0"/>
    <s v="School 4"/>
    <n v="19240105901"/>
    <x v="1"/>
    <s v="Class 12"/>
    <s v="Class 1"/>
    <n v="20"/>
    <n v="33"/>
    <n v="53"/>
    <n v="29"/>
    <n v="9"/>
    <n v="6"/>
    <n v="9"/>
    <n v="6"/>
    <n v="1"/>
    <n v="8"/>
    <n v="9"/>
  </r>
  <r>
    <n v="5"/>
    <s v="Kalimpong"/>
    <x v="0"/>
    <s v="School 5"/>
    <n v="19240105801"/>
    <x v="0"/>
    <s v="Class 10"/>
    <s v="Class 6"/>
    <n v="27"/>
    <n v="37"/>
    <n v="64"/>
    <n v="47"/>
    <n v="7"/>
    <n v="5"/>
    <n v="5"/>
    <n v="9"/>
    <n v="2"/>
    <n v="7"/>
    <n v="9"/>
  </r>
  <r>
    <n v="6"/>
    <s v="Kalimpong"/>
    <x v="0"/>
    <s v="School 6"/>
    <n v="19240105502"/>
    <x v="1"/>
    <s v="Class 5"/>
    <s v="Class 1"/>
    <n v="26"/>
    <n v="24"/>
    <n v="50"/>
    <n v="30"/>
    <n v="7"/>
    <n v="7"/>
    <n v="6"/>
    <n v="8"/>
    <n v="9"/>
    <n v="0"/>
    <n v="9"/>
  </r>
  <r>
    <n v="7"/>
    <s v="Kalimpong"/>
    <x v="0"/>
    <s v="School 7"/>
    <n v="19240104802"/>
    <x v="2"/>
    <s v="Class 12"/>
    <s v="Class 1"/>
    <n v="28"/>
    <n v="40"/>
    <n v="68"/>
    <n v="46"/>
    <n v="9"/>
    <n v="6"/>
    <n v="7"/>
    <n v="7"/>
    <n v="10"/>
    <n v="2"/>
    <n v="12"/>
  </r>
  <r>
    <n v="8"/>
    <s v="Kalimpong"/>
    <x v="0"/>
    <s v="School 8"/>
    <n v="19240107103"/>
    <x v="0"/>
    <s v="Class 12"/>
    <s v="Class 9"/>
    <n v="38"/>
    <n v="20"/>
    <n v="58"/>
    <n v="37"/>
    <n v="10"/>
    <n v="5"/>
    <n v="6"/>
    <n v="7"/>
    <n v="9"/>
    <n v="6"/>
    <n v="15"/>
  </r>
  <r>
    <n v="9"/>
    <s v="Kalimpong"/>
    <x v="0"/>
    <s v="School 9"/>
    <n v="19240100201"/>
    <x v="2"/>
    <s v="Class 8"/>
    <s v="Class 6"/>
    <n v="26"/>
    <n v="23"/>
    <n v="49"/>
    <n v="25"/>
    <n v="8"/>
    <n v="7"/>
    <n v="9"/>
    <n v="8"/>
    <n v="3"/>
    <n v="6"/>
    <n v="9"/>
  </r>
  <r>
    <n v="10"/>
    <s v="Kalimpong"/>
    <x v="0"/>
    <s v="School 10"/>
    <n v="19240100103"/>
    <x v="1"/>
    <s v="Class 4"/>
    <s v="Class 1"/>
    <n v="35"/>
    <n v="21"/>
    <n v="56"/>
    <n v="36"/>
    <n v="8"/>
    <n v="7"/>
    <n v="5"/>
    <n v="6"/>
    <n v="6"/>
    <n v="9"/>
    <n v="15"/>
  </r>
  <r>
    <n v="11"/>
    <s v="Kalimpong"/>
    <x v="1"/>
    <s v="School 11"/>
    <n v="19240401504"/>
    <x v="0"/>
    <s v="Class 8"/>
    <s v="Pre-Primary"/>
    <n v="33"/>
    <n v="24"/>
    <n v="57"/>
    <n v="30"/>
    <n v="10"/>
    <n v="9"/>
    <n v="8"/>
    <n v="8"/>
    <n v="0"/>
    <n v="5"/>
    <n v="5"/>
  </r>
  <r>
    <n v="12"/>
    <s v="Kalimpong"/>
    <x v="0"/>
    <s v="School 12"/>
    <n v="19240100901"/>
    <x v="1"/>
    <s v="Class 10"/>
    <s v="Class 1"/>
    <n v="39"/>
    <n v="36"/>
    <n v="75"/>
    <n v="51"/>
    <n v="9"/>
    <n v="8"/>
    <n v="7"/>
    <n v="6"/>
    <n v="5"/>
    <n v="3"/>
    <n v="8"/>
  </r>
  <r>
    <n v="13"/>
    <s v="Kalimpong"/>
    <x v="0"/>
    <s v="School 13"/>
    <n v="19240102001"/>
    <x v="1"/>
    <s v="Class 5"/>
    <s v="Pre-Primary"/>
    <n v="37"/>
    <n v="35"/>
    <n v="72"/>
    <n v="51"/>
    <n v="7"/>
    <n v="6"/>
    <n v="8"/>
    <n v="9"/>
    <n v="7"/>
    <n v="7"/>
    <n v="14"/>
  </r>
  <r>
    <n v="14"/>
    <s v="Kalimpong"/>
    <x v="0"/>
    <s v="School 14"/>
    <n v="19240102401"/>
    <x v="1"/>
    <s v="Class 12"/>
    <s v="Class 1"/>
    <n v="30"/>
    <n v="30"/>
    <n v="60"/>
    <n v="34"/>
    <n v="9"/>
    <n v="7"/>
    <n v="10"/>
    <n v="9"/>
    <n v="4"/>
    <n v="1"/>
    <n v="5"/>
  </r>
  <r>
    <n v="15"/>
    <s v="Kalimpong"/>
    <x v="0"/>
    <s v="School 15"/>
    <n v="19240105201"/>
    <x v="0"/>
    <s v="Class 10"/>
    <s v="Class 6"/>
    <n v="23"/>
    <n v="40"/>
    <n v="63"/>
    <n v="40"/>
    <n v="10"/>
    <n v="5"/>
    <n v="8"/>
    <n v="8"/>
    <n v="1"/>
    <n v="0"/>
    <n v="1"/>
  </r>
  <r>
    <n v="16"/>
    <s v="Kalimpong"/>
    <x v="0"/>
    <s v="School 16"/>
    <n v="19240105601"/>
    <x v="1"/>
    <s v="Class 5"/>
    <s v="Class 1"/>
    <n v="20"/>
    <n v="23"/>
    <n v="43"/>
    <n v="21"/>
    <n v="8"/>
    <n v="8"/>
    <n v="6"/>
    <n v="5"/>
    <n v="2"/>
    <n v="6"/>
    <n v="8"/>
  </r>
  <r>
    <n v="17"/>
    <s v="Kalimpong"/>
    <x v="0"/>
    <s v="School 17"/>
    <n v="19240101402"/>
    <x v="2"/>
    <s v="Class 12"/>
    <s v="Class 1"/>
    <n v="37"/>
    <n v="33"/>
    <n v="70"/>
    <n v="46"/>
    <n v="9"/>
    <n v="7"/>
    <n v="8"/>
    <n v="7"/>
    <n v="10"/>
    <n v="0"/>
    <n v="10"/>
  </r>
  <r>
    <n v="18"/>
    <s v="Kalimpong"/>
    <x v="0"/>
    <s v="School 18"/>
    <n v="19240105701"/>
    <x v="0"/>
    <s v="Class 12"/>
    <s v="Class 9"/>
    <n v="37"/>
    <n v="21"/>
    <n v="58"/>
    <n v="33"/>
    <n v="10"/>
    <n v="9"/>
    <n v="6"/>
    <n v="5"/>
    <n v="5"/>
    <n v="4"/>
    <n v="9"/>
  </r>
  <r>
    <n v="19"/>
    <s v="Kalimpong"/>
    <x v="0"/>
    <s v="School 19"/>
    <n v="19240104601"/>
    <x v="2"/>
    <s v="Class 8"/>
    <s v="Class 6"/>
    <n v="20"/>
    <n v="30"/>
    <n v="50"/>
    <n v="30"/>
    <n v="5"/>
    <n v="8"/>
    <n v="7"/>
    <n v="9"/>
    <n v="6"/>
    <n v="3"/>
    <n v="9"/>
  </r>
  <r>
    <n v="20"/>
    <s v="Kalimpong"/>
    <x v="0"/>
    <s v="School 20"/>
    <n v="19240100502"/>
    <x v="1"/>
    <s v="Class 4"/>
    <s v="Class 1"/>
    <n v="20"/>
    <n v="31"/>
    <n v="51"/>
    <n v="26"/>
    <n v="6"/>
    <n v="9"/>
    <n v="10"/>
    <n v="7"/>
    <n v="9"/>
    <n v="3"/>
    <n v="12"/>
  </r>
  <r>
    <n v="21"/>
    <s v="Kalimpong"/>
    <x v="0"/>
    <s v="School 21"/>
    <n v="19240102302"/>
    <x v="0"/>
    <s v="Class 8"/>
    <s v="Pre-Primary"/>
    <n v="29"/>
    <n v="38"/>
    <n v="67"/>
    <n v="48"/>
    <n v="5"/>
    <n v="6"/>
    <n v="8"/>
    <n v="5"/>
    <n v="0"/>
    <n v="1"/>
    <n v="1"/>
  </r>
  <r>
    <n v="22"/>
    <s v="Kalimpong"/>
    <x v="0"/>
    <s v="School 22"/>
    <n v="19240103302"/>
    <x v="1"/>
    <s v="Class 10"/>
    <s v="Class 1"/>
    <n v="23"/>
    <n v="22"/>
    <n v="45"/>
    <n v="25"/>
    <n v="5"/>
    <n v="10"/>
    <n v="5"/>
    <n v="7"/>
    <n v="2"/>
    <n v="1"/>
    <n v="3"/>
  </r>
  <r>
    <n v="23"/>
    <s v="Kalimpong"/>
    <x v="0"/>
    <s v="School 23"/>
    <n v="19240104901"/>
    <x v="1"/>
    <s v="Class 5"/>
    <s v="Pre-Primary"/>
    <n v="31"/>
    <n v="34"/>
    <n v="65"/>
    <n v="42"/>
    <n v="6"/>
    <n v="7"/>
    <n v="10"/>
    <n v="7"/>
    <n v="3"/>
    <n v="3"/>
    <n v="6"/>
  </r>
  <r>
    <n v="24"/>
    <s v="Kalimpong"/>
    <x v="0"/>
    <s v="School 24"/>
    <n v="19240105102"/>
    <x v="1"/>
    <s v="Class 12"/>
    <s v="Class 1"/>
    <n v="24"/>
    <n v="38"/>
    <n v="62"/>
    <n v="36"/>
    <n v="10"/>
    <n v="7"/>
    <n v="9"/>
    <n v="7"/>
    <n v="10"/>
    <n v="5"/>
    <n v="15"/>
  </r>
  <r>
    <n v="25"/>
    <s v="Kalimpong"/>
    <x v="1"/>
    <s v="School 25"/>
    <n v="19240401201"/>
    <x v="0"/>
    <s v="Class 10"/>
    <s v="Class 6"/>
    <n v="28"/>
    <n v="21"/>
    <n v="49"/>
    <n v="25"/>
    <n v="10"/>
    <n v="6"/>
    <n v="8"/>
    <n v="10"/>
    <n v="8"/>
    <n v="6"/>
    <n v="14"/>
  </r>
  <r>
    <n v="26"/>
    <s v="Kalimpong"/>
    <x v="0"/>
    <s v="School 26"/>
    <n v="19240104201"/>
    <x v="1"/>
    <s v="Class 5"/>
    <s v="Class 1"/>
    <n v="32"/>
    <n v="32"/>
    <n v="64"/>
    <n v="48"/>
    <n v="6"/>
    <n v="5"/>
    <n v="5"/>
    <n v="5"/>
    <n v="7"/>
    <n v="7"/>
    <n v="14"/>
  </r>
  <r>
    <n v="27"/>
    <s v="Kalimpong"/>
    <x v="0"/>
    <s v="School 27"/>
    <n v="19240105501"/>
    <x v="2"/>
    <s v="Class 12"/>
    <s v="Class 1"/>
    <n v="35"/>
    <n v="29"/>
    <n v="64"/>
    <n v="45"/>
    <n v="9"/>
    <n v="5"/>
    <n v="5"/>
    <n v="5"/>
    <n v="4"/>
    <n v="7"/>
    <n v="11"/>
  </r>
  <r>
    <n v="28"/>
    <s v="Kalimpong"/>
    <x v="0"/>
    <s v="School 28"/>
    <n v="19240105401"/>
    <x v="0"/>
    <s v="Class 12"/>
    <s v="Class 9"/>
    <n v="35"/>
    <n v="28"/>
    <n v="63"/>
    <n v="41"/>
    <n v="5"/>
    <n v="8"/>
    <n v="9"/>
    <n v="10"/>
    <n v="6"/>
    <n v="4"/>
    <n v="10"/>
  </r>
  <r>
    <n v="29"/>
    <s v="Kalimpong"/>
    <x v="0"/>
    <s v="School 29"/>
    <n v="19240101002"/>
    <x v="2"/>
    <s v="Class 8"/>
    <s v="Class 6"/>
    <n v="24"/>
    <n v="31"/>
    <n v="55"/>
    <n v="33"/>
    <n v="6"/>
    <n v="6"/>
    <n v="10"/>
    <n v="5"/>
    <n v="4"/>
    <n v="4"/>
    <n v="8"/>
  </r>
  <r>
    <n v="30"/>
    <s v="Kalimpong"/>
    <x v="0"/>
    <s v="School 30"/>
    <n v="19240100702"/>
    <x v="1"/>
    <s v="Class 4"/>
    <s v="Class 1"/>
    <n v="27"/>
    <n v="34"/>
    <n v="61"/>
    <n v="36"/>
    <n v="10"/>
    <n v="7"/>
    <n v="8"/>
    <n v="10"/>
    <n v="2"/>
    <n v="0"/>
    <n v="2"/>
  </r>
  <r>
    <n v="31"/>
    <s v="Kalimpong"/>
    <x v="0"/>
    <s v="School 31"/>
    <n v="19240100701"/>
    <x v="0"/>
    <s v="Class 8"/>
    <s v="Pre-Primary"/>
    <n v="24"/>
    <n v="33"/>
    <n v="57"/>
    <n v="30"/>
    <n v="9"/>
    <n v="10"/>
    <n v="8"/>
    <n v="5"/>
    <n v="9"/>
    <n v="5"/>
    <n v="14"/>
  </r>
  <r>
    <n v="32"/>
    <s v="Kalimpong"/>
    <x v="0"/>
    <s v="School 32"/>
    <n v="19240106101"/>
    <x v="1"/>
    <s v="Class 10"/>
    <s v="Class 1"/>
    <n v="27"/>
    <n v="35"/>
    <n v="62"/>
    <n v="37"/>
    <n v="9"/>
    <n v="7"/>
    <n v="9"/>
    <n v="8"/>
    <n v="8"/>
    <n v="1"/>
    <n v="9"/>
  </r>
  <r>
    <n v="33"/>
    <s v="Kalimpong"/>
    <x v="0"/>
    <s v="School 33"/>
    <n v="19240106103"/>
    <x v="1"/>
    <s v="Class 5"/>
    <s v="Pre-Primary"/>
    <n v="20"/>
    <n v="20"/>
    <n v="40"/>
    <n v="14"/>
    <n v="9"/>
    <n v="9"/>
    <n v="8"/>
    <n v="9"/>
    <n v="10"/>
    <n v="2"/>
    <n v="12"/>
  </r>
  <r>
    <n v="34"/>
    <s v="Kalimpong"/>
    <x v="0"/>
    <s v="School 34"/>
    <n v="19240107402"/>
    <x v="1"/>
    <s v="Class 12"/>
    <s v="Class 1"/>
    <n v="35"/>
    <n v="37"/>
    <n v="72"/>
    <n v="51"/>
    <n v="7"/>
    <n v="7"/>
    <n v="7"/>
    <n v="5"/>
    <n v="1"/>
    <n v="2"/>
    <n v="3"/>
  </r>
  <r>
    <n v="35"/>
    <s v="Kalimpong"/>
    <x v="0"/>
    <s v="School 35"/>
    <n v="19240103202"/>
    <x v="0"/>
    <s v="Class 10"/>
    <s v="Class 6"/>
    <n v="24"/>
    <n v="37"/>
    <n v="61"/>
    <n v="40"/>
    <n v="9"/>
    <n v="5"/>
    <n v="7"/>
    <n v="6"/>
    <n v="0"/>
    <n v="5"/>
    <n v="5"/>
  </r>
  <r>
    <n v="36"/>
    <s v="Kalimpong"/>
    <x v="0"/>
    <s v="School 36"/>
    <n v="19240107502"/>
    <x v="1"/>
    <s v="Class 5"/>
    <s v="Class 1"/>
    <n v="25"/>
    <n v="34"/>
    <n v="59"/>
    <n v="33"/>
    <n v="8"/>
    <n v="8"/>
    <n v="10"/>
    <n v="9"/>
    <n v="3"/>
    <n v="5"/>
    <n v="8"/>
  </r>
  <r>
    <n v="37"/>
    <s v="Kalimpong"/>
    <x v="0"/>
    <s v="School 37"/>
    <n v="19240103602"/>
    <x v="2"/>
    <s v="Class 12"/>
    <s v="Class 1"/>
    <n v="20"/>
    <n v="21"/>
    <n v="41"/>
    <n v="18"/>
    <n v="9"/>
    <n v="8"/>
    <n v="6"/>
    <n v="6"/>
    <n v="9"/>
    <n v="4"/>
    <n v="13"/>
  </r>
  <r>
    <n v="38"/>
    <s v="Kalimpong"/>
    <x v="1"/>
    <s v="School 38"/>
    <n v="19240401006"/>
    <x v="0"/>
    <s v="Class 12"/>
    <s v="Class 9"/>
    <n v="28"/>
    <n v="39"/>
    <n v="67"/>
    <n v="48"/>
    <n v="7"/>
    <n v="6"/>
    <n v="6"/>
    <n v="7"/>
    <n v="7"/>
    <n v="7"/>
    <n v="14"/>
  </r>
  <r>
    <n v="39"/>
    <s v="Kalimpong"/>
    <x v="0"/>
    <s v="School 39"/>
    <n v="19240106001"/>
    <x v="2"/>
    <s v="Class 8"/>
    <s v="Class 6"/>
    <n v="24"/>
    <n v="26"/>
    <n v="50"/>
    <n v="29"/>
    <n v="7"/>
    <n v="6"/>
    <n v="8"/>
    <n v="6"/>
    <n v="8"/>
    <n v="1"/>
    <n v="9"/>
  </r>
  <r>
    <n v="40"/>
    <s v="Kalimpong"/>
    <x v="0"/>
    <s v="School 40"/>
    <n v="19240101201"/>
    <x v="1"/>
    <s v="Class 4"/>
    <s v="Class 1"/>
    <n v="38"/>
    <n v="37"/>
    <n v="75"/>
    <n v="53"/>
    <n v="8"/>
    <n v="5"/>
    <n v="9"/>
    <n v="10"/>
    <n v="10"/>
    <n v="5"/>
    <n v="15"/>
  </r>
  <r>
    <n v="41"/>
    <s v="Kalimpong"/>
    <x v="0"/>
    <s v="School 41"/>
    <n v="19240103301"/>
    <x v="0"/>
    <s v="Class 8"/>
    <s v="Pre-Primary"/>
    <n v="31"/>
    <n v="24"/>
    <n v="55"/>
    <n v="26"/>
    <n v="9"/>
    <n v="10"/>
    <n v="10"/>
    <n v="10"/>
    <n v="2"/>
    <n v="6"/>
    <n v="8"/>
  </r>
  <r>
    <n v="42"/>
    <s v="Kalimpong"/>
    <x v="0"/>
    <s v="School 42"/>
    <n v="19240104101"/>
    <x v="1"/>
    <s v="Class 10"/>
    <s v="Class 1"/>
    <n v="25"/>
    <n v="26"/>
    <n v="51"/>
    <n v="30"/>
    <n v="9"/>
    <n v="5"/>
    <n v="7"/>
    <n v="7"/>
    <n v="3"/>
    <n v="9"/>
    <n v="12"/>
  </r>
  <r>
    <n v="43"/>
    <s v="Kalimpong"/>
    <x v="0"/>
    <s v="School 43"/>
    <n v="19240104401"/>
    <x v="1"/>
    <s v="Class 5"/>
    <s v="Pre-Primary"/>
    <n v="28"/>
    <n v="36"/>
    <n v="64"/>
    <n v="46"/>
    <n v="8"/>
    <n v="5"/>
    <n v="5"/>
    <n v="7"/>
    <n v="6"/>
    <n v="4"/>
    <n v="10"/>
  </r>
  <r>
    <n v="44"/>
    <s v="Kalimpong"/>
    <x v="0"/>
    <s v="School 44"/>
    <n v="19240104801"/>
    <x v="1"/>
    <s v="Class 12"/>
    <s v="Class 1"/>
    <n v="25"/>
    <n v="36"/>
    <n v="61"/>
    <n v="35"/>
    <n v="9"/>
    <n v="7"/>
    <n v="10"/>
    <n v="5"/>
    <n v="7"/>
    <n v="10"/>
    <n v="17"/>
  </r>
  <r>
    <n v="45"/>
    <s v="Kalimpong"/>
    <x v="1"/>
    <s v="School 45"/>
    <n v="19240401004"/>
    <x v="0"/>
    <s v="Class 10"/>
    <s v="Class 6"/>
    <n v="37"/>
    <n v="34"/>
    <n v="71"/>
    <n v="49"/>
    <n v="7"/>
    <n v="8"/>
    <n v="7"/>
    <n v="8"/>
    <n v="3"/>
    <n v="5"/>
    <n v="8"/>
  </r>
  <r>
    <n v="46"/>
    <s v="Kalimpong"/>
    <x v="0"/>
    <s v="School 46"/>
    <n v="19240100801"/>
    <x v="1"/>
    <s v="Class 5"/>
    <s v="Class 1"/>
    <n v="34"/>
    <n v="22"/>
    <n v="56"/>
    <n v="38"/>
    <n v="5"/>
    <n v="7"/>
    <n v="6"/>
    <n v="5"/>
    <n v="5"/>
    <n v="8"/>
    <n v="13"/>
  </r>
  <r>
    <n v="47"/>
    <s v="Kalimpong"/>
    <x v="0"/>
    <s v="School 47"/>
    <n v="19240107601"/>
    <x v="2"/>
    <s v="Class 12"/>
    <s v="Class 1"/>
    <n v="26"/>
    <n v="34"/>
    <n v="60"/>
    <n v="35"/>
    <n v="8"/>
    <n v="9"/>
    <n v="8"/>
    <n v="5"/>
    <n v="0"/>
    <n v="1"/>
    <n v="1"/>
  </r>
  <r>
    <n v="48"/>
    <s v="Kalimpong"/>
    <x v="0"/>
    <s v="School 48"/>
    <n v="19240104701"/>
    <x v="0"/>
    <s v="Class 12"/>
    <s v="Class 9"/>
    <n v="36"/>
    <n v="27"/>
    <n v="63"/>
    <n v="42"/>
    <n v="6"/>
    <n v="10"/>
    <n v="5"/>
    <n v="9"/>
    <n v="8"/>
    <n v="4"/>
    <n v="12"/>
  </r>
  <r>
    <n v="49"/>
    <s v="Kalimpong"/>
    <x v="1"/>
    <s v="School 49"/>
    <n v="19240401003"/>
    <x v="2"/>
    <s v="Class 8"/>
    <s v="Class 6"/>
    <n v="25"/>
    <n v="26"/>
    <n v="51"/>
    <n v="30"/>
    <n v="8"/>
    <n v="6"/>
    <n v="7"/>
    <n v="5"/>
    <n v="0"/>
    <n v="8"/>
    <n v="8"/>
  </r>
  <r>
    <n v="50"/>
    <s v="Kalimpong"/>
    <x v="0"/>
    <s v="School 50"/>
    <n v="19240106902"/>
    <x v="1"/>
    <s v="Class 4"/>
    <s v="Class 1"/>
    <n v="40"/>
    <n v="32"/>
    <n v="72"/>
    <n v="54"/>
    <n v="7"/>
    <n v="5"/>
    <n v="6"/>
    <n v="7"/>
    <n v="7"/>
    <n v="6"/>
    <n v="13"/>
  </r>
  <r>
    <n v="51"/>
    <s v="Kalimpong"/>
    <x v="1"/>
    <s v="School 51"/>
    <n v="19240400802"/>
    <x v="0"/>
    <s v="Class 8"/>
    <s v="Pre-Primary"/>
    <n v="27"/>
    <n v="39"/>
    <n v="66"/>
    <n v="47"/>
    <n v="8"/>
    <n v="5"/>
    <n v="6"/>
    <n v="8"/>
    <n v="8"/>
    <n v="8"/>
    <n v="16"/>
  </r>
  <r>
    <n v="52"/>
    <s v="Kalimpong"/>
    <x v="0"/>
    <s v="School 52"/>
    <n v="19240101601"/>
    <x v="1"/>
    <s v="Class 10"/>
    <s v="Class 1"/>
    <n v="38"/>
    <n v="33"/>
    <n v="71"/>
    <n v="46"/>
    <n v="10"/>
    <n v="8"/>
    <n v="7"/>
    <n v="9"/>
    <n v="5"/>
    <n v="6"/>
    <n v="11"/>
  </r>
  <r>
    <n v="53"/>
    <s v="Kalimpong"/>
    <x v="0"/>
    <s v="School 53"/>
    <n v="19240102402"/>
    <x v="1"/>
    <s v="Class 5"/>
    <s v="Pre-Primary"/>
    <n v="20"/>
    <n v="28"/>
    <n v="48"/>
    <n v="27"/>
    <n v="6"/>
    <n v="7"/>
    <n v="8"/>
    <n v="10"/>
    <n v="10"/>
    <n v="6"/>
    <n v="16"/>
  </r>
  <r>
    <n v="54"/>
    <s v="Kalimpong"/>
    <x v="0"/>
    <s v="School 54"/>
    <n v="19240104502"/>
    <x v="1"/>
    <s v="Class 12"/>
    <s v="Class 1"/>
    <n v="36"/>
    <n v="33"/>
    <n v="69"/>
    <n v="46"/>
    <n v="9"/>
    <n v="6"/>
    <n v="8"/>
    <n v="10"/>
    <n v="6"/>
    <n v="8"/>
    <n v="14"/>
  </r>
  <r>
    <n v="55"/>
    <s v="Kalimpong"/>
    <x v="0"/>
    <s v="School 55"/>
    <n v="19240104402"/>
    <x v="0"/>
    <s v="Class 10"/>
    <s v="Class 6"/>
    <n v="23"/>
    <n v="26"/>
    <n v="49"/>
    <n v="24"/>
    <n v="9"/>
    <n v="8"/>
    <n v="8"/>
    <n v="8"/>
    <n v="4"/>
    <n v="9"/>
    <n v="13"/>
  </r>
  <r>
    <n v="56"/>
    <s v="Kalimpong"/>
    <x v="0"/>
    <s v="School 56"/>
    <n v="19240100102"/>
    <x v="1"/>
    <s v="Class 5"/>
    <s v="Class 1"/>
    <n v="31"/>
    <n v="22"/>
    <n v="53"/>
    <n v="29"/>
    <n v="5"/>
    <n v="10"/>
    <n v="9"/>
    <n v="5"/>
    <n v="4"/>
    <n v="2"/>
    <n v="6"/>
  </r>
  <r>
    <n v="57"/>
    <s v="Kalimpong"/>
    <x v="0"/>
    <s v="School 57"/>
    <n v="19240107102"/>
    <x v="2"/>
    <s v="Class 12"/>
    <s v="Class 1"/>
    <n v="35"/>
    <n v="38"/>
    <n v="73"/>
    <n v="54"/>
    <n v="7"/>
    <n v="7"/>
    <n v="5"/>
    <n v="8"/>
    <n v="0"/>
    <n v="4"/>
    <n v="4"/>
  </r>
  <r>
    <n v="58"/>
    <s v="Kalimpong"/>
    <x v="0"/>
    <s v="School 58"/>
    <n v="19240107201"/>
    <x v="0"/>
    <s v="Class 12"/>
    <s v="Class 9"/>
    <n v="31"/>
    <n v="27"/>
    <n v="58"/>
    <n v="34"/>
    <n v="9"/>
    <n v="7"/>
    <n v="8"/>
    <n v="8"/>
    <n v="9"/>
    <n v="3"/>
    <n v="12"/>
  </r>
  <r>
    <n v="59"/>
    <s v="Kalimpong"/>
    <x v="0"/>
    <s v="School 59"/>
    <n v="19240102501"/>
    <x v="2"/>
    <s v="Class 8"/>
    <s v="Class 6"/>
    <n v="26"/>
    <n v="34"/>
    <n v="60"/>
    <n v="39"/>
    <n v="9"/>
    <n v="5"/>
    <n v="7"/>
    <n v="5"/>
    <n v="6"/>
    <n v="5"/>
    <n v="11"/>
  </r>
  <r>
    <n v="60"/>
    <s v="Kalimpong"/>
    <x v="0"/>
    <s v="School 60"/>
    <n v="19240107101"/>
    <x v="1"/>
    <s v="Class 4"/>
    <s v="Class 1"/>
    <n v="37"/>
    <n v="22"/>
    <n v="59"/>
    <n v="36"/>
    <n v="9"/>
    <n v="7"/>
    <n v="7"/>
    <n v="10"/>
    <n v="3"/>
    <n v="0"/>
    <n v="3"/>
  </r>
  <r>
    <n v="61"/>
    <s v="Kalimpong"/>
    <x v="0"/>
    <s v="School 61"/>
    <n v="19240101802"/>
    <x v="0"/>
    <s v="Class 8"/>
    <s v="Pre-Primary"/>
    <n v="37"/>
    <n v="29"/>
    <n v="66"/>
    <n v="40"/>
    <n v="10"/>
    <n v="6"/>
    <n v="10"/>
    <n v="10"/>
    <n v="5"/>
    <n v="9"/>
    <n v="14"/>
  </r>
  <r>
    <n v="62"/>
    <s v="Kalimpong"/>
    <x v="0"/>
    <s v="School 62"/>
    <n v="19240105001"/>
    <x v="1"/>
    <s v="Class 10"/>
    <s v="Class 1"/>
    <n v="37"/>
    <n v="24"/>
    <n v="61"/>
    <n v="35"/>
    <n v="10"/>
    <n v="7"/>
    <n v="9"/>
    <n v="8"/>
    <n v="4"/>
    <n v="6"/>
    <n v="10"/>
  </r>
  <r>
    <n v="63"/>
    <s v="Kalimpong"/>
    <x v="0"/>
    <s v="School 63"/>
    <n v="19240107301"/>
    <x v="1"/>
    <s v="Class 5"/>
    <s v="Pre-Primary"/>
    <n v="22"/>
    <n v="27"/>
    <n v="49"/>
    <n v="26"/>
    <n v="9"/>
    <n v="6"/>
    <n v="8"/>
    <n v="6"/>
    <n v="8"/>
    <n v="8"/>
    <n v="16"/>
  </r>
  <r>
    <n v="64"/>
    <s v="Kalimpong"/>
    <x v="1"/>
    <s v="School 64"/>
    <n v="19240400401"/>
    <x v="1"/>
    <s v="Class 12"/>
    <s v="Class 1"/>
    <n v="36"/>
    <n v="34"/>
    <n v="70"/>
    <n v="50"/>
    <n v="7"/>
    <n v="8"/>
    <n v="5"/>
    <n v="10"/>
    <n v="0"/>
    <n v="8"/>
    <n v="8"/>
  </r>
  <r>
    <n v="65"/>
    <s v="Kalimpong"/>
    <x v="0"/>
    <s v="School 65"/>
    <n v="19240105101"/>
    <x v="0"/>
    <s v="Class 10"/>
    <s v="Class 6"/>
    <n v="22"/>
    <n v="24"/>
    <n v="46"/>
    <n v="18"/>
    <n v="8"/>
    <n v="10"/>
    <n v="10"/>
    <n v="9"/>
    <n v="7"/>
    <n v="7"/>
    <n v="14"/>
  </r>
  <r>
    <n v="66"/>
    <s v="Kalimpong"/>
    <x v="0"/>
    <s v="School 66"/>
    <n v="19240107001"/>
    <x v="1"/>
    <s v="Class 5"/>
    <s v="Class 1"/>
    <n v="26"/>
    <n v="39"/>
    <n v="65"/>
    <n v="46"/>
    <n v="8"/>
    <n v="6"/>
    <n v="5"/>
    <n v="10"/>
    <n v="4"/>
    <n v="0"/>
    <n v="4"/>
  </r>
  <r>
    <n v="67"/>
    <s v="Kalimpong"/>
    <x v="0"/>
    <s v="School 67"/>
    <n v="19240107202"/>
    <x v="2"/>
    <s v="Class 12"/>
    <s v="Class 1"/>
    <n v="30"/>
    <n v="26"/>
    <n v="56"/>
    <n v="32"/>
    <n v="10"/>
    <n v="7"/>
    <n v="7"/>
    <n v="8"/>
    <n v="2"/>
    <n v="10"/>
    <n v="12"/>
  </r>
  <r>
    <n v="68"/>
    <s v="Kalimpong"/>
    <x v="0"/>
    <s v="School 68"/>
    <n v="19240101901"/>
    <x v="0"/>
    <s v="Class 12"/>
    <s v="Class 9"/>
    <n v="24"/>
    <n v="29"/>
    <n v="53"/>
    <n v="35"/>
    <n v="7"/>
    <n v="5"/>
    <n v="6"/>
    <n v="6"/>
    <n v="0"/>
    <n v="6"/>
    <n v="6"/>
  </r>
  <r>
    <n v="69"/>
    <s v="Kalimpong"/>
    <x v="0"/>
    <s v="School 69"/>
    <n v="19240102101"/>
    <x v="2"/>
    <s v="Class 8"/>
    <s v="Class 6"/>
    <n v="27"/>
    <n v="38"/>
    <n v="65"/>
    <n v="41"/>
    <n v="8"/>
    <n v="8"/>
    <n v="8"/>
    <n v="6"/>
    <n v="5"/>
    <n v="5"/>
    <n v="10"/>
  </r>
  <r>
    <n v="70"/>
    <s v="Kalimpong"/>
    <x v="0"/>
    <s v="School 70"/>
    <n v="19240101003"/>
    <x v="1"/>
    <s v="Class 4"/>
    <s v="Class 1"/>
    <n v="32"/>
    <n v="40"/>
    <n v="72"/>
    <n v="53"/>
    <n v="5"/>
    <n v="6"/>
    <n v="8"/>
    <n v="8"/>
    <n v="8"/>
    <n v="8"/>
    <n v="16"/>
  </r>
  <r>
    <n v="71"/>
    <s v="Kalimpong"/>
    <x v="0"/>
    <s v="School 71"/>
    <n v="19240103702"/>
    <x v="0"/>
    <s v="Class 8"/>
    <s v="Pre-Primary"/>
    <n v="28"/>
    <n v="23"/>
    <n v="51"/>
    <n v="29"/>
    <n v="10"/>
    <n v="6"/>
    <n v="6"/>
    <n v="5"/>
    <n v="0"/>
    <n v="5"/>
    <n v="5"/>
  </r>
  <r>
    <n v="72"/>
    <s v="Kalimpong"/>
    <x v="0"/>
    <s v="School 72"/>
    <n v="19240106203"/>
    <x v="1"/>
    <s v="Class 10"/>
    <s v="Class 1"/>
    <n v="30"/>
    <n v="27"/>
    <n v="57"/>
    <n v="32"/>
    <n v="6"/>
    <n v="9"/>
    <n v="10"/>
    <n v="7"/>
    <n v="5"/>
    <n v="7"/>
    <n v="12"/>
  </r>
  <r>
    <n v="73"/>
    <s v="Kalimpong"/>
    <x v="0"/>
    <s v="School 73"/>
    <n v="19240106501"/>
    <x v="1"/>
    <s v="Class 5"/>
    <s v="Pre-Primary"/>
    <n v="26"/>
    <n v="40"/>
    <n v="66"/>
    <n v="39"/>
    <n v="10"/>
    <n v="9"/>
    <n v="8"/>
    <n v="9"/>
    <n v="1"/>
    <n v="9"/>
    <n v="10"/>
  </r>
  <r>
    <n v="74"/>
    <s v="Kalimpong"/>
    <x v="0"/>
    <s v="School 74"/>
    <n v="19240100301"/>
    <x v="1"/>
    <s v="Class 12"/>
    <s v="Class 1"/>
    <n v="27"/>
    <n v="29"/>
    <n v="56"/>
    <n v="37"/>
    <n v="7"/>
    <n v="5"/>
    <n v="7"/>
    <n v="7"/>
    <n v="7"/>
    <n v="8"/>
    <n v="15"/>
  </r>
  <r>
    <n v="75"/>
    <s v="Kalimpong"/>
    <x v="0"/>
    <s v="School 75"/>
    <n v="19240104202"/>
    <x v="0"/>
    <s v="Class 10"/>
    <s v="Class 6"/>
    <n v="24"/>
    <n v="24"/>
    <n v="48"/>
    <n v="25"/>
    <n v="9"/>
    <n v="7"/>
    <n v="7"/>
    <n v="8"/>
    <n v="4"/>
    <n v="0"/>
    <n v="4"/>
  </r>
  <r>
    <n v="76"/>
    <s v="Kalimpong"/>
    <x v="0"/>
    <s v="School 76"/>
    <n v="19240104604"/>
    <x v="1"/>
    <s v="Class 5"/>
    <s v="Class 1"/>
    <n v="39"/>
    <n v="25"/>
    <n v="64"/>
    <n v="45"/>
    <n v="7"/>
    <n v="6"/>
    <n v="6"/>
    <n v="8"/>
    <n v="8"/>
    <n v="4"/>
    <n v="12"/>
  </r>
  <r>
    <n v="77"/>
    <s v="Kalimpong"/>
    <x v="0"/>
    <s v="School 77"/>
    <n v="19240107501"/>
    <x v="2"/>
    <s v="Class 12"/>
    <s v="Class 1"/>
    <n v="29"/>
    <n v="33"/>
    <n v="62"/>
    <n v="41"/>
    <n v="5"/>
    <n v="8"/>
    <n v="8"/>
    <n v="9"/>
    <n v="10"/>
    <n v="6"/>
    <n v="16"/>
  </r>
  <r>
    <n v="78"/>
    <s v="Kalimpong"/>
    <x v="0"/>
    <s v="School 78"/>
    <n v="19240103101"/>
    <x v="0"/>
    <s v="Class 12"/>
    <s v="Class 9"/>
    <n v="39"/>
    <n v="36"/>
    <n v="75"/>
    <n v="48"/>
    <n v="10"/>
    <n v="9"/>
    <n v="8"/>
    <n v="8"/>
    <n v="1"/>
    <n v="7"/>
    <n v="8"/>
  </r>
  <r>
    <n v="79"/>
    <s v="Kalimpong"/>
    <x v="0"/>
    <s v="School 79"/>
    <n v="19240104603"/>
    <x v="2"/>
    <s v="Class 8"/>
    <s v="Class 6"/>
    <n v="26"/>
    <n v="30"/>
    <n v="56"/>
    <n v="34"/>
    <n v="6"/>
    <n v="8"/>
    <n v="8"/>
    <n v="7"/>
    <n v="5"/>
    <n v="1"/>
    <n v="6"/>
  </r>
  <r>
    <n v="80"/>
    <s v="Kalimpong"/>
    <x v="0"/>
    <s v="School 80"/>
    <n v="19240103601"/>
    <x v="1"/>
    <s v="Class 4"/>
    <s v="Class 1"/>
    <n v="29"/>
    <n v="20"/>
    <n v="49"/>
    <n v="29"/>
    <n v="9"/>
    <n v="6"/>
    <n v="5"/>
    <n v="5"/>
    <n v="10"/>
    <n v="10"/>
    <n v="20"/>
  </r>
  <r>
    <n v="81"/>
    <s v="Kalimpong"/>
    <x v="0"/>
    <s v="School 81"/>
    <n v="19240106602"/>
    <x v="0"/>
    <s v="Class 8"/>
    <s v="Pre-Primary"/>
    <n v="27"/>
    <n v="27"/>
    <n v="54"/>
    <n v="31"/>
    <n v="8"/>
    <n v="7"/>
    <n v="8"/>
    <n v="7"/>
    <n v="8"/>
    <n v="2"/>
    <n v="10"/>
  </r>
  <r>
    <n v="82"/>
    <s v="Kalimpong"/>
    <x v="0"/>
    <s v="School 82"/>
    <n v="19240100601"/>
    <x v="1"/>
    <s v="Class 10"/>
    <s v="Class 1"/>
    <n v="35"/>
    <n v="29"/>
    <n v="64"/>
    <n v="38"/>
    <n v="8"/>
    <n v="8"/>
    <n v="10"/>
    <n v="6"/>
    <n v="2"/>
    <n v="4"/>
    <n v="6"/>
  </r>
  <r>
    <n v="83"/>
    <s v="Kalimpong"/>
    <x v="0"/>
    <s v="School 83"/>
    <n v="19240103001"/>
    <x v="1"/>
    <s v="Class 5"/>
    <s v="Pre-Primary"/>
    <n v="33"/>
    <n v="38"/>
    <n v="71"/>
    <n v="47"/>
    <n v="8"/>
    <n v="7"/>
    <n v="9"/>
    <n v="10"/>
    <n v="9"/>
    <n v="6"/>
    <n v="15"/>
  </r>
  <r>
    <n v="84"/>
    <s v="Kalimpong"/>
    <x v="0"/>
    <s v="School 84"/>
    <n v="19240103501"/>
    <x v="1"/>
    <s v="Class 12"/>
    <s v="Class 1"/>
    <n v="37"/>
    <n v="35"/>
    <n v="72"/>
    <n v="49"/>
    <n v="9"/>
    <n v="5"/>
    <n v="9"/>
    <n v="5"/>
    <n v="1"/>
    <n v="1"/>
    <n v="2"/>
  </r>
  <r>
    <n v="85"/>
    <s v="Kalimpong"/>
    <x v="0"/>
    <s v="School 85"/>
    <n v="19240103401"/>
    <x v="0"/>
    <s v="Class 10"/>
    <s v="Class 6"/>
    <n v="34"/>
    <n v="23"/>
    <n v="57"/>
    <n v="34"/>
    <n v="9"/>
    <n v="5"/>
    <n v="9"/>
    <n v="5"/>
    <n v="10"/>
    <n v="8"/>
    <n v="18"/>
  </r>
  <r>
    <n v="86"/>
    <s v="Kalimpong"/>
    <x v="0"/>
    <s v="School 86"/>
    <n v="19240101603"/>
    <x v="1"/>
    <s v="Class 5"/>
    <s v="Class 1"/>
    <n v="35"/>
    <n v="26"/>
    <n v="61"/>
    <n v="36"/>
    <n v="10"/>
    <n v="7"/>
    <n v="8"/>
    <n v="10"/>
    <n v="5"/>
    <n v="9"/>
    <n v="14"/>
  </r>
  <r>
    <n v="87"/>
    <s v="Kalimpong"/>
    <x v="0"/>
    <s v="School 87"/>
    <n v="19240101701"/>
    <x v="2"/>
    <s v="Class 12"/>
    <s v="Class 1"/>
    <n v="20"/>
    <n v="27"/>
    <n v="47"/>
    <n v="25"/>
    <n v="7"/>
    <n v="6"/>
    <n v="9"/>
    <n v="6"/>
    <n v="5"/>
    <n v="5"/>
    <n v="10"/>
  </r>
  <r>
    <n v="88"/>
    <s v="Kalimpong"/>
    <x v="0"/>
    <s v="School 88"/>
    <n v="19240104503"/>
    <x v="0"/>
    <s v="Class 12"/>
    <s v="Class 9"/>
    <n v="22"/>
    <n v="21"/>
    <n v="43"/>
    <n v="15"/>
    <n v="9"/>
    <n v="10"/>
    <n v="9"/>
    <n v="6"/>
    <n v="5"/>
    <n v="9"/>
    <n v="14"/>
  </r>
  <r>
    <n v="89"/>
    <s v="Kalimpong"/>
    <x v="0"/>
    <s v="School 89"/>
    <n v="19240100401"/>
    <x v="2"/>
    <s v="Class 8"/>
    <s v="Class 6"/>
    <n v="29"/>
    <n v="39"/>
    <n v="68"/>
    <n v="46"/>
    <n v="7"/>
    <n v="6"/>
    <n v="9"/>
    <n v="8"/>
    <n v="0"/>
    <n v="7"/>
    <n v="7"/>
  </r>
  <r>
    <n v="90"/>
    <s v="Kalimpong"/>
    <x v="0"/>
    <s v="School 90"/>
    <n v="19240100501"/>
    <x v="1"/>
    <s v="Class 4"/>
    <s v="Class 1"/>
    <n v="20"/>
    <n v="34"/>
    <n v="54"/>
    <n v="31"/>
    <n v="6"/>
    <n v="7"/>
    <n v="10"/>
    <n v="9"/>
    <n v="3"/>
    <n v="7"/>
    <n v="10"/>
  </r>
  <r>
    <n v="91"/>
    <s v="Kalimpong"/>
    <x v="0"/>
    <s v="School 91"/>
    <n v="19240101801"/>
    <x v="0"/>
    <s v="Class 8"/>
    <s v="Pre-Primary"/>
    <n v="26"/>
    <n v="40"/>
    <n v="66"/>
    <n v="42"/>
    <n v="10"/>
    <n v="6"/>
    <n v="8"/>
    <n v="7"/>
    <n v="1"/>
    <n v="5"/>
    <n v="6"/>
  </r>
  <r>
    <n v="92"/>
    <s v="Kalimpong"/>
    <x v="0"/>
    <s v="School 92"/>
    <n v="19240102502"/>
    <x v="1"/>
    <s v="Class 10"/>
    <s v="Class 1"/>
    <n v="20"/>
    <n v="37"/>
    <n v="57"/>
    <n v="40"/>
    <n v="5"/>
    <n v="6"/>
    <n v="6"/>
    <n v="10"/>
    <n v="9"/>
    <n v="10"/>
    <n v="19"/>
  </r>
  <r>
    <n v="93"/>
    <s v="Kalimpong"/>
    <x v="0"/>
    <s v="School 93"/>
    <n v="19240102901"/>
    <x v="1"/>
    <s v="Class 5"/>
    <s v="Pre-Primary"/>
    <n v="24"/>
    <n v="38"/>
    <n v="62"/>
    <n v="37"/>
    <n v="9"/>
    <n v="8"/>
    <n v="8"/>
    <n v="6"/>
    <n v="10"/>
    <n v="9"/>
    <n v="19"/>
  </r>
  <r>
    <n v="94"/>
    <s v="Kalimpong"/>
    <x v="0"/>
    <s v="School 94"/>
    <n v="19240103603"/>
    <x v="1"/>
    <s v="Class 12"/>
    <s v="Class 1"/>
    <n v="28"/>
    <n v="36"/>
    <n v="64"/>
    <n v="42"/>
    <n v="5"/>
    <n v="8"/>
    <n v="9"/>
    <n v="6"/>
    <n v="2"/>
    <n v="6"/>
    <n v="8"/>
  </r>
  <r>
    <n v="95"/>
    <s v="Kalimpong"/>
    <x v="0"/>
    <s v="School 95"/>
    <n v="19240102202"/>
    <x v="0"/>
    <s v="Class 10"/>
    <s v="Class 6"/>
    <n v="23"/>
    <n v="35"/>
    <n v="58"/>
    <n v="38"/>
    <n v="6"/>
    <n v="8"/>
    <n v="6"/>
    <n v="7"/>
    <n v="3"/>
    <n v="9"/>
    <n v="12"/>
  </r>
  <r>
    <n v="96"/>
    <s v="Kalimpong"/>
    <x v="0"/>
    <s v="School 96"/>
    <n v="19240101803"/>
    <x v="1"/>
    <s v="Class 5"/>
    <s v="Class 1"/>
    <n v="36"/>
    <n v="24"/>
    <n v="60"/>
    <n v="40"/>
    <n v="7"/>
    <n v="7"/>
    <n v="6"/>
    <n v="5"/>
    <n v="6"/>
    <n v="2"/>
    <n v="8"/>
  </r>
  <r>
    <n v="97"/>
    <s v="Kalimpong"/>
    <x v="0"/>
    <s v="School 97"/>
    <n v="19240106702"/>
    <x v="2"/>
    <s v="Class 12"/>
    <s v="Class 1"/>
    <n v="24"/>
    <n v="31"/>
    <n v="55"/>
    <n v="37"/>
    <n v="5"/>
    <n v="8"/>
    <n v="5"/>
    <n v="6"/>
    <n v="4"/>
    <n v="3"/>
    <n v="7"/>
  </r>
  <r>
    <n v="98"/>
    <s v="Kalimpong"/>
    <x v="0"/>
    <s v="School 98"/>
    <n v="19240106901"/>
    <x v="0"/>
    <s v="Class 12"/>
    <s v="Class 9"/>
    <n v="26"/>
    <n v="28"/>
    <n v="54"/>
    <n v="30"/>
    <n v="7"/>
    <n v="7"/>
    <n v="10"/>
    <n v="9"/>
    <n v="10"/>
    <n v="7"/>
    <n v="17"/>
  </r>
  <r>
    <n v="99"/>
    <s v="Kalimpong"/>
    <x v="0"/>
    <s v="School 99"/>
    <n v="19240103201"/>
    <x v="2"/>
    <s v="Class 8"/>
    <s v="Class 6"/>
    <n v="28"/>
    <n v="36"/>
    <n v="64"/>
    <n v="36"/>
    <n v="9"/>
    <n v="10"/>
    <n v="9"/>
    <n v="5"/>
    <n v="4"/>
    <n v="1"/>
    <n v="5"/>
  </r>
  <r>
    <n v="100"/>
    <s v="Kalimpong"/>
    <x v="0"/>
    <s v="School 100"/>
    <n v="19240102203"/>
    <x v="1"/>
    <s v="Class 4"/>
    <s v="Class 1"/>
    <n v="24"/>
    <n v="27"/>
    <n v="51"/>
    <n v="26"/>
    <n v="7"/>
    <n v="8"/>
    <n v="10"/>
    <n v="6"/>
    <n v="7"/>
    <n v="4"/>
    <n v="11"/>
  </r>
  <r>
    <n v="101"/>
    <s v="Kalimpong"/>
    <x v="0"/>
    <s v="School 101"/>
    <n v="19240102201"/>
    <x v="0"/>
    <s v="Class 8"/>
    <s v="Pre-Primary"/>
    <n v="20"/>
    <n v="30"/>
    <n v="50"/>
    <n v="27"/>
    <n v="5"/>
    <n v="8"/>
    <n v="10"/>
    <n v="8"/>
    <n v="0"/>
    <n v="10"/>
    <n v="10"/>
  </r>
  <r>
    <n v="102"/>
    <s v="Kalimpong"/>
    <x v="1"/>
    <s v="School 102"/>
    <n v="19240400202"/>
    <x v="1"/>
    <s v="Class 10"/>
    <s v="Class 1"/>
    <n v="28"/>
    <n v="27"/>
    <n v="55"/>
    <n v="35"/>
    <n v="9"/>
    <n v="6"/>
    <n v="5"/>
    <n v="10"/>
    <n v="7"/>
    <n v="1"/>
    <n v="8"/>
  </r>
  <r>
    <n v="103"/>
    <s v="Kalimpong"/>
    <x v="0"/>
    <s v="School 103"/>
    <n v="19240103703"/>
    <x v="1"/>
    <s v="Class 5"/>
    <s v="Pre-Primary"/>
    <n v="22"/>
    <n v="22"/>
    <n v="44"/>
    <n v="25"/>
    <n v="5"/>
    <n v="6"/>
    <n v="8"/>
    <n v="8"/>
    <n v="1"/>
    <n v="0"/>
    <n v="1"/>
  </r>
  <r>
    <n v="104"/>
    <s v="Kalimpong"/>
    <x v="0"/>
    <s v="School 104"/>
    <n v="19240103701"/>
    <x v="1"/>
    <s v="Class 12"/>
    <s v="Class 1"/>
    <n v="29"/>
    <n v="35"/>
    <n v="64"/>
    <n v="42"/>
    <n v="8"/>
    <n v="9"/>
    <n v="5"/>
    <n v="6"/>
    <n v="6"/>
    <n v="1"/>
    <n v="7"/>
  </r>
  <r>
    <n v="105"/>
    <s v="Kalimpong"/>
    <x v="0"/>
    <s v="School 105"/>
    <n v="19240104803"/>
    <x v="0"/>
    <s v="Class 10"/>
    <s v="Class 6"/>
    <n v="27"/>
    <n v="21"/>
    <n v="48"/>
    <n v="22"/>
    <n v="10"/>
    <n v="7"/>
    <n v="9"/>
    <n v="8"/>
    <n v="10"/>
    <n v="9"/>
    <n v="19"/>
  </r>
  <r>
    <n v="106"/>
    <s v="Kalimpong"/>
    <x v="0"/>
    <s v="School 106"/>
    <n v="19240101301"/>
    <x v="1"/>
    <s v="Class 5"/>
    <s v="Class 1"/>
    <n v="30"/>
    <n v="34"/>
    <n v="64"/>
    <n v="41"/>
    <n v="9"/>
    <n v="7"/>
    <n v="7"/>
    <n v="10"/>
    <n v="1"/>
    <n v="5"/>
    <n v="6"/>
  </r>
  <r>
    <n v="107"/>
    <s v="Kalimpong"/>
    <x v="0"/>
    <s v="School 107"/>
    <n v="19240106904"/>
    <x v="2"/>
    <s v="Class 12"/>
    <s v="Class 1"/>
    <n v="35"/>
    <n v="25"/>
    <n v="60"/>
    <n v="38"/>
    <n v="6"/>
    <n v="6"/>
    <n v="10"/>
    <n v="6"/>
    <n v="8"/>
    <n v="10"/>
    <n v="18"/>
  </r>
  <r>
    <n v="108"/>
    <s v="Kalimpong"/>
    <x v="0"/>
    <s v="School 108"/>
    <n v="19240106102"/>
    <x v="0"/>
    <s v="Class 12"/>
    <s v="Class 9"/>
    <n v="36"/>
    <n v="37"/>
    <n v="73"/>
    <n v="46"/>
    <n v="8"/>
    <n v="9"/>
    <n v="10"/>
    <n v="10"/>
    <n v="1"/>
    <n v="8"/>
    <n v="9"/>
  </r>
  <r>
    <n v="109"/>
    <s v="Kalimpong"/>
    <x v="0"/>
    <s v="School 109"/>
    <n v="19240105301"/>
    <x v="2"/>
    <s v="Class 8"/>
    <s v="Class 6"/>
    <n v="21"/>
    <n v="36"/>
    <n v="57"/>
    <n v="37"/>
    <n v="5"/>
    <n v="6"/>
    <n v="9"/>
    <n v="10"/>
    <n v="1"/>
    <n v="0"/>
    <n v="1"/>
  </r>
  <r>
    <n v="110"/>
    <s v="Kalimpong"/>
    <x v="0"/>
    <s v="School 110"/>
    <n v="19240106201"/>
    <x v="1"/>
    <s v="Class 4"/>
    <s v="Class 1"/>
    <n v="31"/>
    <n v="26"/>
    <n v="57"/>
    <n v="39"/>
    <n v="7"/>
    <n v="5"/>
    <n v="6"/>
    <n v="5"/>
    <n v="7"/>
    <n v="0"/>
    <n v="7"/>
  </r>
  <r>
    <n v="111"/>
    <s v="Kalimpong"/>
    <x v="2"/>
    <s v="School 111"/>
    <n v="19240306602"/>
    <x v="0"/>
    <s v="Class 8"/>
    <s v="Pre-Primary"/>
    <n v="28"/>
    <n v="37"/>
    <n v="65"/>
    <n v="37"/>
    <n v="8"/>
    <n v="10"/>
    <n v="10"/>
    <n v="9"/>
    <n v="10"/>
    <n v="2"/>
    <n v="12"/>
  </r>
  <r>
    <n v="112"/>
    <s v="Kalimpong"/>
    <x v="0"/>
    <s v="School 112"/>
    <n v="19240106601"/>
    <x v="1"/>
    <s v="Class 10"/>
    <s v="Class 1"/>
    <n v="34"/>
    <n v="28"/>
    <n v="62"/>
    <n v="34"/>
    <n v="10"/>
    <n v="10"/>
    <n v="8"/>
    <n v="9"/>
    <n v="1"/>
    <n v="10"/>
    <n v="11"/>
  </r>
  <r>
    <n v="113"/>
    <s v="Kalimpong"/>
    <x v="0"/>
    <s v="School 113"/>
    <n v="19240106401"/>
    <x v="1"/>
    <s v="Class 5"/>
    <s v="Pre-Primary"/>
    <n v="39"/>
    <n v="34"/>
    <n v="73"/>
    <n v="52"/>
    <n v="5"/>
    <n v="6"/>
    <n v="10"/>
    <n v="7"/>
    <n v="10"/>
    <n v="3"/>
    <n v="13"/>
  </r>
  <r>
    <n v="114"/>
    <s v="Kalimpong"/>
    <x v="0"/>
    <s v="School 114"/>
    <n v="19240106202"/>
    <x v="1"/>
    <s v="Class 12"/>
    <s v="Class 1"/>
    <n v="24"/>
    <n v="33"/>
    <n v="57"/>
    <n v="33"/>
    <n v="10"/>
    <n v="6"/>
    <n v="8"/>
    <n v="10"/>
    <n v="6"/>
    <n v="2"/>
    <n v="8"/>
  </r>
  <r>
    <n v="115"/>
    <s v="Kalimpong"/>
    <x v="0"/>
    <s v="School 115"/>
    <n v="19240102503"/>
    <x v="0"/>
    <s v="Class 10"/>
    <s v="Class 6"/>
    <n v="31"/>
    <n v="21"/>
    <n v="52"/>
    <n v="31"/>
    <n v="9"/>
    <n v="6"/>
    <n v="6"/>
    <n v="8"/>
    <n v="1"/>
    <n v="3"/>
    <n v="4"/>
  </r>
  <r>
    <n v="116"/>
    <s v="Kalimpong"/>
    <x v="0"/>
    <s v="School 116"/>
    <n v="19240104902"/>
    <x v="1"/>
    <s v="Class 5"/>
    <s v="Class 1"/>
    <n v="36"/>
    <n v="33"/>
    <n v="69"/>
    <n v="47"/>
    <n v="8"/>
    <n v="8"/>
    <n v="6"/>
    <n v="8"/>
    <n v="0"/>
    <n v="5"/>
    <n v="5"/>
  </r>
  <r>
    <n v="117"/>
    <s v="Kalimpong"/>
    <x v="0"/>
    <s v="School 117"/>
    <n v="19240100101"/>
    <x v="2"/>
    <s v="Class 12"/>
    <s v="Class 1"/>
    <n v="25"/>
    <n v="30"/>
    <n v="55"/>
    <n v="31"/>
    <n v="5"/>
    <n v="9"/>
    <n v="10"/>
    <n v="8"/>
    <n v="2"/>
    <n v="4"/>
    <n v="6"/>
  </r>
  <r>
    <n v="118"/>
    <s v="Kalimpong"/>
    <x v="0"/>
    <s v="School 118"/>
    <n v="19240101501"/>
    <x v="0"/>
    <s v="Class 12"/>
    <s v="Class 9"/>
    <n v="25"/>
    <n v="37"/>
    <n v="62"/>
    <n v="39"/>
    <n v="6"/>
    <n v="8"/>
    <n v="9"/>
    <n v="10"/>
    <n v="3"/>
    <n v="2"/>
    <n v="5"/>
  </r>
  <r>
    <n v="119"/>
    <s v="Kalimpong"/>
    <x v="0"/>
    <s v="School 119"/>
    <n v="19240102801"/>
    <x v="2"/>
    <s v="Class 8"/>
    <s v="Class 6"/>
    <n v="34"/>
    <n v="27"/>
    <n v="61"/>
    <n v="39"/>
    <n v="6"/>
    <n v="6"/>
    <n v="10"/>
    <n v="6"/>
    <n v="5"/>
    <n v="5"/>
    <n v="10"/>
  </r>
  <r>
    <n v="120"/>
    <s v="Kalimpong"/>
    <x v="0"/>
    <s v="School 120"/>
    <n v="19240102301"/>
    <x v="1"/>
    <s v="Class 4"/>
    <s v="Class 1"/>
    <n v="24"/>
    <n v="37"/>
    <n v="61"/>
    <n v="42"/>
    <n v="7"/>
    <n v="5"/>
    <n v="7"/>
    <n v="5"/>
    <n v="9"/>
    <n v="5"/>
    <n v="14"/>
  </r>
  <r>
    <n v="121"/>
    <s v="Kalimpong"/>
    <x v="0"/>
    <s v="School 121"/>
    <n v="19240102601"/>
    <x v="0"/>
    <s v="Class 8"/>
    <s v="Pre-Primary"/>
    <n v="37"/>
    <n v="22"/>
    <n v="59"/>
    <n v="33"/>
    <n v="6"/>
    <n v="10"/>
    <n v="10"/>
    <n v="9"/>
    <n v="0"/>
    <n v="1"/>
    <n v="1"/>
  </r>
  <r>
    <n v="122"/>
    <s v="Kalimpong"/>
    <x v="0"/>
    <s v="School 122"/>
    <n v="19240104004"/>
    <x v="1"/>
    <s v="Class 10"/>
    <s v="Class 1"/>
    <n v="36"/>
    <n v="26"/>
    <n v="62"/>
    <n v="38"/>
    <n v="9"/>
    <n v="6"/>
    <n v="9"/>
    <n v="6"/>
    <n v="7"/>
    <n v="10"/>
    <n v="17"/>
  </r>
  <r>
    <n v="123"/>
    <s v="Kalimpong"/>
    <x v="0"/>
    <s v="School 123"/>
    <n v="19240104001"/>
    <x v="1"/>
    <s v="Class 5"/>
    <s v="Pre-Primary"/>
    <n v="35"/>
    <n v="24"/>
    <n v="59"/>
    <n v="37"/>
    <n v="6"/>
    <n v="8"/>
    <n v="8"/>
    <n v="8"/>
    <n v="3"/>
    <n v="7"/>
    <n v="10"/>
  </r>
  <r>
    <n v="124"/>
    <s v="Kalimpong"/>
    <x v="0"/>
    <s v="School 124"/>
    <n v="19240106403"/>
    <x v="1"/>
    <s v="Class 12"/>
    <s v="Class 1"/>
    <n v="35"/>
    <n v="27"/>
    <n v="62"/>
    <n v="39"/>
    <n v="7"/>
    <n v="6"/>
    <n v="10"/>
    <n v="7"/>
    <n v="9"/>
    <n v="6"/>
    <n v="15"/>
  </r>
  <r>
    <n v="125"/>
    <s v="Kalimpong"/>
    <x v="0"/>
    <s v="School 125"/>
    <n v="19240101001"/>
    <x v="0"/>
    <s v="Class 10"/>
    <s v="Class 6"/>
    <n v="39"/>
    <n v="39"/>
    <n v="78"/>
    <n v="53"/>
    <n v="10"/>
    <n v="8"/>
    <n v="7"/>
    <n v="7"/>
    <n v="3"/>
    <n v="10"/>
    <n v="13"/>
  </r>
  <r>
    <n v="126"/>
    <s v="Kalimpong"/>
    <x v="0"/>
    <s v="School 126"/>
    <n v="19240104302"/>
    <x v="1"/>
    <s v="Class 5"/>
    <s v="Class 1"/>
    <n v="33"/>
    <n v="22"/>
    <n v="55"/>
    <n v="32"/>
    <n v="5"/>
    <n v="10"/>
    <n v="8"/>
    <n v="9"/>
    <n v="6"/>
    <n v="3"/>
    <n v="9"/>
  </r>
  <r>
    <n v="127"/>
    <s v="Kalimpong"/>
    <x v="0"/>
    <s v="School 127"/>
    <n v="19240104301"/>
    <x v="2"/>
    <s v="Class 12"/>
    <s v="Class 1"/>
    <n v="31"/>
    <n v="32"/>
    <n v="63"/>
    <n v="39"/>
    <n v="8"/>
    <n v="9"/>
    <n v="7"/>
    <n v="10"/>
    <n v="1"/>
    <n v="6"/>
    <n v="7"/>
  </r>
  <r>
    <n v="128"/>
    <s v="Kalimpong"/>
    <x v="0"/>
    <s v="School 128"/>
    <n v="19240104501"/>
    <x v="0"/>
    <s v="Class 12"/>
    <s v="Class 9"/>
    <n v="40"/>
    <n v="39"/>
    <n v="79"/>
    <n v="54"/>
    <n v="9"/>
    <n v="10"/>
    <n v="6"/>
    <n v="9"/>
    <n v="8"/>
    <n v="1"/>
    <n v="9"/>
  </r>
  <r>
    <n v="129"/>
    <s v="Kalimpong"/>
    <x v="0"/>
    <s v="School 129"/>
    <n v="19240104002"/>
    <x v="2"/>
    <s v="Class 8"/>
    <s v="Class 6"/>
    <n v="21"/>
    <n v="23"/>
    <n v="44"/>
    <n v="19"/>
    <n v="10"/>
    <n v="5"/>
    <n v="10"/>
    <n v="8"/>
    <n v="7"/>
    <n v="4"/>
    <n v="11"/>
  </r>
  <r>
    <n v="130"/>
    <s v="Kalimpong"/>
    <x v="0"/>
    <s v="School 130"/>
    <n v="19240106701"/>
    <x v="1"/>
    <s v="Class 4"/>
    <s v="Class 1"/>
    <n v="29"/>
    <n v="36"/>
    <n v="65"/>
    <n v="47"/>
    <n v="5"/>
    <n v="6"/>
    <n v="7"/>
    <n v="10"/>
    <n v="9"/>
    <n v="4"/>
    <n v="13"/>
  </r>
  <r>
    <n v="131"/>
    <s v="Kalimpong"/>
    <x v="0"/>
    <s v="School 131"/>
    <n v="19240101902"/>
    <x v="0"/>
    <s v="Class 8"/>
    <s v="Pre-Primary"/>
    <n v="31"/>
    <n v="38"/>
    <n v="69"/>
    <n v="46"/>
    <n v="8"/>
    <n v="7"/>
    <n v="8"/>
    <n v="10"/>
    <n v="4"/>
    <n v="5"/>
    <n v="9"/>
  </r>
  <r>
    <n v="132"/>
    <s v="Kalimpong"/>
    <x v="0"/>
    <s v="School 132"/>
    <n v="19240104804"/>
    <x v="1"/>
    <s v="Class 10"/>
    <s v="Class 1"/>
    <n v="26"/>
    <n v="30"/>
    <n v="56"/>
    <n v="37"/>
    <n v="7"/>
    <n v="6"/>
    <n v="6"/>
    <n v="5"/>
    <n v="8"/>
    <n v="6"/>
    <n v="14"/>
  </r>
  <r>
    <n v="133"/>
    <s v="Kalimpong"/>
    <x v="0"/>
    <s v="School 133"/>
    <n v="19240103503"/>
    <x v="1"/>
    <s v="Class 5"/>
    <s v="Pre-Primary"/>
    <n v="34"/>
    <n v="38"/>
    <n v="72"/>
    <n v="50"/>
    <n v="10"/>
    <n v="7"/>
    <n v="5"/>
    <n v="8"/>
    <n v="7"/>
    <n v="5"/>
    <n v="12"/>
  </r>
  <r>
    <n v="134"/>
    <s v="Kalimpong"/>
    <x v="0"/>
    <s v="School 134"/>
    <n v="19240102802"/>
    <x v="1"/>
    <s v="Class 12"/>
    <s v="Class 1"/>
    <n v="36"/>
    <n v="24"/>
    <n v="60"/>
    <n v="36"/>
    <n v="5"/>
    <n v="9"/>
    <n v="10"/>
    <n v="5"/>
    <n v="5"/>
    <n v="1"/>
    <n v="6"/>
  </r>
  <r>
    <n v="135"/>
    <s v="Kalimpong"/>
    <x v="0"/>
    <s v="School 135"/>
    <n v="19240102504"/>
    <x v="0"/>
    <s v="Class 10"/>
    <s v="Class 6"/>
    <n v="29"/>
    <n v="40"/>
    <n v="69"/>
    <n v="52"/>
    <n v="6"/>
    <n v="5"/>
    <n v="6"/>
    <n v="10"/>
    <n v="5"/>
    <n v="9"/>
    <n v="14"/>
  </r>
  <r>
    <n v="136"/>
    <s v="Kalimpong"/>
    <x v="0"/>
    <s v="School 136"/>
    <n v="19240102701"/>
    <x v="1"/>
    <s v="Class 5"/>
    <s v="Class 1"/>
    <n v="30"/>
    <n v="23"/>
    <n v="53"/>
    <n v="27"/>
    <n v="10"/>
    <n v="9"/>
    <n v="7"/>
    <n v="7"/>
    <n v="7"/>
    <n v="5"/>
    <n v="12"/>
  </r>
  <r>
    <n v="137"/>
    <s v="Kalimpong"/>
    <x v="0"/>
    <s v="School 137"/>
    <n v="19240107401"/>
    <x v="2"/>
    <s v="Class 12"/>
    <s v="Class 1"/>
    <n v="25"/>
    <n v="33"/>
    <n v="58"/>
    <n v="37"/>
    <n v="7"/>
    <n v="6"/>
    <n v="8"/>
    <n v="5"/>
    <n v="3"/>
    <n v="9"/>
    <n v="12"/>
  </r>
  <r>
    <n v="138"/>
    <s v="Kalimpong"/>
    <x v="0"/>
    <s v="School 138"/>
    <n v="19240104003"/>
    <x v="0"/>
    <s v="Class 12"/>
    <s v="Class 9"/>
    <n v="29"/>
    <n v="26"/>
    <n v="55"/>
    <n v="35"/>
    <n v="6"/>
    <n v="5"/>
    <n v="9"/>
    <n v="10"/>
    <n v="2"/>
    <n v="7"/>
    <n v="9"/>
  </r>
  <r>
    <n v="139"/>
    <s v="Kalimpong"/>
    <x v="3"/>
    <s v="School 139"/>
    <n v="19240204001"/>
    <x v="2"/>
    <s v="Class 8"/>
    <s v="Class 6"/>
    <n v="22"/>
    <n v="32"/>
    <n v="54"/>
    <n v="28"/>
    <n v="8"/>
    <n v="10"/>
    <n v="8"/>
    <n v="6"/>
    <n v="6"/>
    <n v="7"/>
    <n v="13"/>
  </r>
  <r>
    <n v="140"/>
    <s v="Kalimpong"/>
    <x v="3"/>
    <s v="School 140"/>
    <n v="19240202806"/>
    <x v="1"/>
    <s v="Class 4"/>
    <s v="Class 1"/>
    <n v="26"/>
    <n v="30"/>
    <n v="56"/>
    <n v="37"/>
    <n v="6"/>
    <n v="5"/>
    <n v="8"/>
    <n v="7"/>
    <n v="4"/>
    <n v="3"/>
    <n v="7"/>
  </r>
  <r>
    <n v="141"/>
    <s v="Kalimpong"/>
    <x v="3"/>
    <s v="School 141"/>
    <n v="19240200402"/>
    <x v="0"/>
    <s v="Class 8"/>
    <s v="Pre-Primary"/>
    <n v="21"/>
    <n v="21"/>
    <n v="42"/>
    <n v="12"/>
    <n v="10"/>
    <n v="10"/>
    <n v="10"/>
    <n v="10"/>
    <n v="6"/>
    <n v="7"/>
    <n v="13"/>
  </r>
  <r>
    <n v="142"/>
    <s v="Kalimpong"/>
    <x v="3"/>
    <s v="School 142"/>
    <n v="19240205802"/>
    <x v="1"/>
    <s v="Class 10"/>
    <s v="Class 1"/>
    <n v="24"/>
    <n v="29"/>
    <n v="53"/>
    <n v="29"/>
    <n v="6"/>
    <n v="8"/>
    <n v="10"/>
    <n v="8"/>
    <n v="6"/>
    <n v="2"/>
    <n v="8"/>
  </r>
  <r>
    <n v="143"/>
    <s v="Kalimpong"/>
    <x v="3"/>
    <s v="School 143"/>
    <n v="19240201502"/>
    <x v="1"/>
    <s v="Class 5"/>
    <s v="Pre-Primary"/>
    <n v="28"/>
    <n v="36"/>
    <n v="64"/>
    <n v="43"/>
    <n v="6"/>
    <n v="9"/>
    <n v="6"/>
    <n v="9"/>
    <n v="1"/>
    <n v="8"/>
    <n v="9"/>
  </r>
  <r>
    <n v="144"/>
    <s v="Kalimpong"/>
    <x v="3"/>
    <s v="School 144"/>
    <n v="19240201503"/>
    <x v="1"/>
    <s v="Class 12"/>
    <s v="Class 1"/>
    <n v="21"/>
    <n v="20"/>
    <n v="41"/>
    <n v="15"/>
    <n v="9"/>
    <n v="10"/>
    <n v="7"/>
    <n v="7"/>
    <n v="9"/>
    <n v="7"/>
    <n v="16"/>
  </r>
  <r>
    <n v="145"/>
    <s v="Kalimpong"/>
    <x v="3"/>
    <s v="School 145"/>
    <n v="19240200709"/>
    <x v="0"/>
    <s v="Class 10"/>
    <s v="Class 6"/>
    <n v="35"/>
    <n v="30"/>
    <n v="65"/>
    <n v="35"/>
    <n v="10"/>
    <n v="10"/>
    <n v="10"/>
    <n v="5"/>
    <n v="5"/>
    <n v="1"/>
    <n v="6"/>
  </r>
  <r>
    <n v="146"/>
    <s v="Kalimpong"/>
    <x v="3"/>
    <s v="School 146"/>
    <n v="19240201505"/>
    <x v="1"/>
    <s v="Class 5"/>
    <s v="Class 1"/>
    <n v="26"/>
    <n v="25"/>
    <n v="51"/>
    <n v="27"/>
    <n v="5"/>
    <n v="9"/>
    <n v="10"/>
    <n v="8"/>
    <n v="8"/>
    <n v="0"/>
    <n v="8"/>
  </r>
  <r>
    <n v="147"/>
    <s v="Kalimpong"/>
    <x v="3"/>
    <s v="School 147"/>
    <n v="19240201301"/>
    <x v="2"/>
    <s v="Class 12"/>
    <s v="Class 1"/>
    <n v="29"/>
    <n v="26"/>
    <n v="55"/>
    <n v="29"/>
    <n v="10"/>
    <n v="6"/>
    <n v="10"/>
    <n v="5"/>
    <n v="4"/>
    <n v="0"/>
    <n v="4"/>
  </r>
  <r>
    <n v="148"/>
    <s v="Kalimpong"/>
    <x v="3"/>
    <s v="School 148"/>
    <n v="19240201401"/>
    <x v="0"/>
    <s v="Class 12"/>
    <s v="Class 9"/>
    <n v="24"/>
    <n v="23"/>
    <n v="47"/>
    <n v="26"/>
    <n v="9"/>
    <n v="6"/>
    <n v="6"/>
    <n v="9"/>
    <n v="5"/>
    <n v="6"/>
    <n v="11"/>
  </r>
  <r>
    <n v="149"/>
    <s v="Kalimpong"/>
    <x v="3"/>
    <s v="School 149"/>
    <n v="19240201402"/>
    <x v="2"/>
    <s v="Class 8"/>
    <s v="Class 6"/>
    <n v="33"/>
    <n v="35"/>
    <n v="68"/>
    <n v="47"/>
    <n v="5"/>
    <n v="6"/>
    <n v="10"/>
    <n v="7"/>
    <n v="5"/>
    <n v="8"/>
    <n v="13"/>
  </r>
  <r>
    <n v="150"/>
    <s v="Kalimpong"/>
    <x v="3"/>
    <s v="School 150"/>
    <n v="19240203902"/>
    <x v="1"/>
    <s v="Class 4"/>
    <s v="Class 1"/>
    <n v="29"/>
    <n v="39"/>
    <n v="68"/>
    <n v="47"/>
    <n v="7"/>
    <n v="8"/>
    <n v="6"/>
    <n v="9"/>
    <n v="2"/>
    <n v="5"/>
    <n v="7"/>
  </r>
  <r>
    <n v="151"/>
    <s v="Kalimpong"/>
    <x v="2"/>
    <s v="School 151"/>
    <n v="19240305801"/>
    <x v="0"/>
    <s v="Class 8"/>
    <s v="Pre-Primary"/>
    <n v="32"/>
    <n v="22"/>
    <n v="54"/>
    <n v="26"/>
    <n v="10"/>
    <n v="9"/>
    <n v="9"/>
    <n v="10"/>
    <n v="0"/>
    <n v="4"/>
    <n v="4"/>
  </r>
  <r>
    <n v="152"/>
    <s v="Kalimpong"/>
    <x v="3"/>
    <s v="School 152"/>
    <n v="19240208302"/>
    <x v="1"/>
    <s v="Class 10"/>
    <s v="Class 1"/>
    <n v="35"/>
    <n v="29"/>
    <n v="64"/>
    <n v="40"/>
    <n v="5"/>
    <n v="10"/>
    <n v="9"/>
    <n v="8"/>
    <n v="5"/>
    <n v="7"/>
    <n v="12"/>
  </r>
  <r>
    <n v="153"/>
    <s v="Kalimpong"/>
    <x v="3"/>
    <s v="School 153"/>
    <n v="19240201701"/>
    <x v="1"/>
    <s v="Class 5"/>
    <s v="Pre-Primary"/>
    <n v="29"/>
    <n v="32"/>
    <n v="61"/>
    <n v="41"/>
    <n v="6"/>
    <n v="7"/>
    <n v="7"/>
    <n v="7"/>
    <n v="0"/>
    <n v="9"/>
    <n v="9"/>
  </r>
  <r>
    <n v="154"/>
    <s v="Kalimpong"/>
    <x v="3"/>
    <s v="School 154"/>
    <n v="19240204904"/>
    <x v="1"/>
    <s v="Class 12"/>
    <s v="Class 1"/>
    <n v="26"/>
    <n v="30"/>
    <n v="56"/>
    <n v="38"/>
    <n v="6"/>
    <n v="6"/>
    <n v="6"/>
    <n v="10"/>
    <n v="7"/>
    <n v="0"/>
    <n v="7"/>
  </r>
  <r>
    <n v="155"/>
    <s v="Kalimpong"/>
    <x v="3"/>
    <s v="School 155"/>
    <n v="19240203403"/>
    <x v="0"/>
    <s v="Class 10"/>
    <s v="Class 6"/>
    <n v="27"/>
    <n v="20"/>
    <n v="47"/>
    <n v="21"/>
    <n v="7"/>
    <n v="9"/>
    <n v="10"/>
    <n v="5"/>
    <n v="3"/>
    <n v="2"/>
    <n v="5"/>
  </r>
  <r>
    <n v="156"/>
    <s v="Kalimpong"/>
    <x v="2"/>
    <s v="School 156"/>
    <n v="19240304802"/>
    <x v="1"/>
    <s v="Class 5"/>
    <s v="Class 1"/>
    <n v="37"/>
    <n v="28"/>
    <n v="65"/>
    <n v="39"/>
    <n v="7"/>
    <n v="10"/>
    <n v="9"/>
    <n v="9"/>
    <n v="5"/>
    <n v="6"/>
    <n v="11"/>
  </r>
  <r>
    <n v="157"/>
    <s v="Kalimpong"/>
    <x v="3"/>
    <s v="School 157"/>
    <n v="19240206401"/>
    <x v="2"/>
    <s v="Class 12"/>
    <s v="Class 1"/>
    <n v="23"/>
    <n v="25"/>
    <n v="48"/>
    <n v="26"/>
    <n v="6"/>
    <n v="8"/>
    <n v="8"/>
    <n v="5"/>
    <n v="1"/>
    <n v="10"/>
    <n v="11"/>
  </r>
  <r>
    <n v="158"/>
    <s v="Kalimpong"/>
    <x v="3"/>
    <s v="School 158"/>
    <n v="19240201901"/>
    <x v="0"/>
    <s v="Class 12"/>
    <s v="Class 9"/>
    <n v="32"/>
    <n v="20"/>
    <n v="52"/>
    <n v="29"/>
    <n v="6"/>
    <n v="10"/>
    <n v="7"/>
    <n v="9"/>
    <n v="6"/>
    <n v="6"/>
    <n v="12"/>
  </r>
  <r>
    <n v="159"/>
    <s v="Kalimpong"/>
    <x v="3"/>
    <s v="School 159"/>
    <n v="19240202503"/>
    <x v="2"/>
    <s v="Class 8"/>
    <s v="Class 6"/>
    <n v="37"/>
    <n v="24"/>
    <n v="61"/>
    <n v="35"/>
    <n v="7"/>
    <n v="10"/>
    <n v="9"/>
    <n v="7"/>
    <n v="9"/>
    <n v="10"/>
    <n v="19"/>
  </r>
  <r>
    <n v="160"/>
    <s v="Kalimpong"/>
    <x v="3"/>
    <s v="School 160"/>
    <n v="19240206702"/>
    <x v="1"/>
    <s v="Class 4"/>
    <s v="Class 1"/>
    <n v="29"/>
    <n v="28"/>
    <n v="57"/>
    <n v="38"/>
    <n v="6"/>
    <n v="5"/>
    <n v="8"/>
    <n v="9"/>
    <n v="9"/>
    <n v="10"/>
    <n v="19"/>
  </r>
  <r>
    <n v="161"/>
    <s v="Kalimpong"/>
    <x v="3"/>
    <s v="School 161"/>
    <n v="19240203101"/>
    <x v="0"/>
    <s v="Class 8"/>
    <s v="Pre-Primary"/>
    <n v="39"/>
    <n v="34"/>
    <n v="73"/>
    <n v="51"/>
    <n v="5"/>
    <n v="7"/>
    <n v="10"/>
    <n v="6"/>
    <n v="0"/>
    <n v="3"/>
    <n v="3"/>
  </r>
  <r>
    <n v="162"/>
    <s v="Kalimpong"/>
    <x v="3"/>
    <s v="School 162"/>
    <n v="19240202201"/>
    <x v="1"/>
    <s v="Class 10"/>
    <s v="Class 1"/>
    <n v="37"/>
    <n v="23"/>
    <n v="60"/>
    <n v="37"/>
    <n v="9"/>
    <n v="6"/>
    <n v="8"/>
    <n v="9"/>
    <n v="9"/>
    <n v="6"/>
    <n v="15"/>
  </r>
  <r>
    <n v="163"/>
    <s v="Kalimpong"/>
    <x v="3"/>
    <s v="School 163"/>
    <n v="19240204801"/>
    <x v="1"/>
    <s v="Class 5"/>
    <s v="Pre-Primary"/>
    <n v="38"/>
    <n v="26"/>
    <n v="64"/>
    <n v="46"/>
    <n v="6"/>
    <n v="7"/>
    <n v="5"/>
    <n v="7"/>
    <n v="0"/>
    <n v="2"/>
    <n v="2"/>
  </r>
  <r>
    <n v="164"/>
    <s v="Kalimpong"/>
    <x v="3"/>
    <s v="School 164"/>
    <n v="19240202101"/>
    <x v="1"/>
    <s v="Class 12"/>
    <s v="Class 1"/>
    <n v="26"/>
    <n v="24"/>
    <n v="50"/>
    <n v="26"/>
    <n v="10"/>
    <n v="7"/>
    <n v="7"/>
    <n v="9"/>
    <n v="6"/>
    <n v="0"/>
    <n v="6"/>
  </r>
  <r>
    <n v="165"/>
    <s v="Kalimpong"/>
    <x v="2"/>
    <s v="School 165"/>
    <n v="19240303902"/>
    <x v="0"/>
    <s v="Class 10"/>
    <s v="Class 6"/>
    <n v="20"/>
    <n v="35"/>
    <n v="55"/>
    <n v="31"/>
    <n v="6"/>
    <n v="9"/>
    <n v="9"/>
    <n v="9"/>
    <n v="9"/>
    <n v="3"/>
    <n v="12"/>
  </r>
  <r>
    <n v="166"/>
    <s v="Kalimpong"/>
    <x v="3"/>
    <s v="School 166"/>
    <n v="19240204901"/>
    <x v="1"/>
    <s v="Class 5"/>
    <s v="Class 1"/>
    <n v="21"/>
    <n v="23"/>
    <n v="44"/>
    <n v="23"/>
    <n v="8"/>
    <n v="6"/>
    <n v="7"/>
    <n v="6"/>
    <n v="7"/>
    <n v="3"/>
    <n v="10"/>
  </r>
  <r>
    <n v="167"/>
    <s v="Kalimpong"/>
    <x v="3"/>
    <s v="School 167"/>
    <n v="19240204603"/>
    <x v="2"/>
    <s v="Class 12"/>
    <s v="Class 1"/>
    <n v="24"/>
    <n v="39"/>
    <n v="63"/>
    <n v="38"/>
    <n v="9"/>
    <n v="6"/>
    <n v="10"/>
    <n v="5"/>
    <n v="3"/>
    <n v="3"/>
    <n v="6"/>
  </r>
  <r>
    <n v="168"/>
    <s v="Kalimpong"/>
    <x v="3"/>
    <s v="School 168"/>
    <n v="19240203801"/>
    <x v="0"/>
    <s v="Class 12"/>
    <s v="Class 9"/>
    <n v="31"/>
    <n v="26"/>
    <n v="57"/>
    <n v="35"/>
    <n v="5"/>
    <n v="9"/>
    <n v="8"/>
    <n v="10"/>
    <n v="3"/>
    <n v="1"/>
    <n v="4"/>
  </r>
  <r>
    <n v="169"/>
    <s v="Kalimpong"/>
    <x v="3"/>
    <s v="School 169"/>
    <n v="19240207501"/>
    <x v="2"/>
    <s v="Class 8"/>
    <s v="Class 6"/>
    <n v="32"/>
    <n v="30"/>
    <n v="62"/>
    <n v="38"/>
    <n v="10"/>
    <n v="6"/>
    <n v="8"/>
    <n v="10"/>
    <n v="8"/>
    <n v="7"/>
    <n v="15"/>
  </r>
  <r>
    <n v="170"/>
    <s v="Kalimpong"/>
    <x v="3"/>
    <s v="School 170"/>
    <n v="19240208301"/>
    <x v="1"/>
    <s v="Class 4"/>
    <s v="Class 1"/>
    <n v="28"/>
    <n v="35"/>
    <n v="63"/>
    <n v="41"/>
    <n v="5"/>
    <n v="7"/>
    <n v="10"/>
    <n v="7"/>
    <n v="2"/>
    <n v="2"/>
    <n v="4"/>
  </r>
  <r>
    <n v="171"/>
    <s v="Kalimpong"/>
    <x v="3"/>
    <s v="School 171"/>
    <n v="19240200703"/>
    <x v="0"/>
    <s v="Class 8"/>
    <s v="Pre-Primary"/>
    <n v="37"/>
    <n v="24"/>
    <n v="61"/>
    <n v="42"/>
    <n v="5"/>
    <n v="8"/>
    <n v="6"/>
    <n v="9"/>
    <n v="6"/>
    <n v="1"/>
    <n v="7"/>
  </r>
  <r>
    <n v="172"/>
    <s v="Kalimpong"/>
    <x v="3"/>
    <s v="School 172"/>
    <n v="19240201904"/>
    <x v="1"/>
    <s v="Class 10"/>
    <s v="Class 1"/>
    <n v="24"/>
    <n v="40"/>
    <n v="64"/>
    <n v="34"/>
    <n v="10"/>
    <n v="10"/>
    <n v="10"/>
    <n v="6"/>
    <n v="3"/>
    <n v="5"/>
    <n v="8"/>
  </r>
  <r>
    <n v="173"/>
    <s v="Kalimpong"/>
    <x v="3"/>
    <s v="School 173"/>
    <n v="19240200102"/>
    <x v="1"/>
    <s v="Class 5"/>
    <s v="Pre-Primary"/>
    <n v="22"/>
    <n v="22"/>
    <n v="44"/>
    <n v="24"/>
    <n v="6"/>
    <n v="5"/>
    <n v="9"/>
    <n v="8"/>
    <n v="0"/>
    <n v="7"/>
    <n v="7"/>
  </r>
  <r>
    <n v="174"/>
    <s v="Kalimpong"/>
    <x v="3"/>
    <s v="School 174"/>
    <n v="19240203201"/>
    <x v="1"/>
    <s v="Class 12"/>
    <s v="Class 1"/>
    <n v="31"/>
    <n v="31"/>
    <n v="62"/>
    <n v="41"/>
    <n v="10"/>
    <n v="5"/>
    <n v="6"/>
    <n v="9"/>
    <n v="7"/>
    <n v="4"/>
    <n v="11"/>
  </r>
  <r>
    <n v="175"/>
    <s v="Kalimpong"/>
    <x v="3"/>
    <s v="School 175"/>
    <n v="19240200702"/>
    <x v="0"/>
    <s v="Class 10"/>
    <s v="Class 6"/>
    <n v="23"/>
    <n v="33"/>
    <n v="56"/>
    <n v="38"/>
    <n v="8"/>
    <n v="5"/>
    <n v="5"/>
    <n v="7"/>
    <n v="10"/>
    <n v="7"/>
    <n v="17"/>
  </r>
  <r>
    <n v="176"/>
    <s v="Kalimpong"/>
    <x v="3"/>
    <s v="School 176"/>
    <n v="19240200704"/>
    <x v="1"/>
    <s v="Class 5"/>
    <s v="Class 1"/>
    <n v="25"/>
    <n v="37"/>
    <n v="62"/>
    <n v="38"/>
    <n v="5"/>
    <n v="9"/>
    <n v="10"/>
    <n v="10"/>
    <n v="10"/>
    <n v="3"/>
    <n v="13"/>
  </r>
  <r>
    <n v="177"/>
    <s v="Kalimpong"/>
    <x v="3"/>
    <s v="School 177"/>
    <n v="19240201903"/>
    <x v="2"/>
    <s v="Class 12"/>
    <s v="Class 1"/>
    <n v="21"/>
    <n v="40"/>
    <n v="61"/>
    <n v="39"/>
    <n v="5"/>
    <n v="9"/>
    <n v="8"/>
    <n v="9"/>
    <n v="5"/>
    <n v="2"/>
    <n v="7"/>
  </r>
  <r>
    <n v="178"/>
    <s v="Kalimpong"/>
    <x v="3"/>
    <s v="School 178"/>
    <n v="19240202304"/>
    <x v="0"/>
    <s v="Class 12"/>
    <s v="Class 9"/>
    <n v="33"/>
    <n v="25"/>
    <n v="58"/>
    <n v="35"/>
    <n v="8"/>
    <n v="5"/>
    <n v="10"/>
    <n v="5"/>
    <n v="9"/>
    <n v="4"/>
    <n v="13"/>
  </r>
  <r>
    <n v="179"/>
    <s v="Kalimpong"/>
    <x v="3"/>
    <s v="School 179"/>
    <n v="19240202303"/>
    <x v="2"/>
    <s v="Class 8"/>
    <s v="Class 6"/>
    <n v="28"/>
    <n v="20"/>
    <n v="48"/>
    <n v="24"/>
    <n v="5"/>
    <n v="9"/>
    <n v="10"/>
    <n v="9"/>
    <n v="2"/>
    <n v="9"/>
    <n v="11"/>
  </r>
  <r>
    <n v="180"/>
    <s v="Kalimpong"/>
    <x v="3"/>
    <s v="School 180"/>
    <n v="19240208201"/>
    <x v="1"/>
    <s v="Class 4"/>
    <s v="Class 1"/>
    <n v="28"/>
    <n v="39"/>
    <n v="67"/>
    <n v="45"/>
    <n v="8"/>
    <n v="9"/>
    <n v="5"/>
    <n v="5"/>
    <n v="3"/>
    <n v="5"/>
    <n v="8"/>
  </r>
  <r>
    <n v="181"/>
    <s v="Kalimpong"/>
    <x v="3"/>
    <s v="School 181"/>
    <n v="19240202804"/>
    <x v="0"/>
    <s v="Class 8"/>
    <s v="Pre-Primary"/>
    <n v="36"/>
    <n v="32"/>
    <n v="68"/>
    <n v="46"/>
    <n v="6"/>
    <n v="7"/>
    <n v="9"/>
    <n v="5"/>
    <n v="2"/>
    <n v="8"/>
    <n v="10"/>
  </r>
  <r>
    <n v="182"/>
    <s v="Kalimpong"/>
    <x v="3"/>
    <s v="School 182"/>
    <n v="19240201201"/>
    <x v="1"/>
    <s v="Class 10"/>
    <s v="Class 1"/>
    <n v="39"/>
    <n v="39"/>
    <n v="78"/>
    <n v="57"/>
    <n v="10"/>
    <n v="6"/>
    <n v="5"/>
    <n v="8"/>
    <n v="6"/>
    <n v="4"/>
    <n v="10"/>
  </r>
  <r>
    <n v="183"/>
    <s v="Kalimpong"/>
    <x v="2"/>
    <s v="School 183"/>
    <n v="19240303702"/>
    <x v="1"/>
    <s v="Class 5"/>
    <s v="Pre-Primary"/>
    <n v="37"/>
    <n v="25"/>
    <n v="62"/>
    <n v="40"/>
    <n v="6"/>
    <n v="9"/>
    <n v="7"/>
    <n v="6"/>
    <n v="2"/>
    <n v="3"/>
    <n v="5"/>
  </r>
  <r>
    <n v="184"/>
    <s v="Kalimpong"/>
    <x v="3"/>
    <s v="School 184"/>
    <n v="19240203301"/>
    <x v="1"/>
    <s v="Class 12"/>
    <s v="Class 1"/>
    <n v="35"/>
    <n v="34"/>
    <n v="69"/>
    <n v="51"/>
    <n v="6"/>
    <n v="5"/>
    <n v="7"/>
    <n v="5"/>
    <n v="1"/>
    <n v="1"/>
    <n v="2"/>
  </r>
  <r>
    <n v="185"/>
    <s v="Kalimpong"/>
    <x v="2"/>
    <s v="School 185"/>
    <n v="19240302902"/>
    <x v="0"/>
    <s v="Class 10"/>
    <s v="Class 6"/>
    <n v="40"/>
    <n v="40"/>
    <n v="80"/>
    <n v="57"/>
    <n v="6"/>
    <n v="7"/>
    <n v="10"/>
    <n v="9"/>
    <n v="10"/>
    <n v="3"/>
    <n v="13"/>
  </r>
  <r>
    <n v="186"/>
    <s v="Kalimpong"/>
    <x v="3"/>
    <s v="School 186"/>
    <n v="19240202803"/>
    <x v="1"/>
    <s v="Class 5"/>
    <s v="Class 1"/>
    <n v="21"/>
    <n v="25"/>
    <n v="46"/>
    <n v="23"/>
    <n v="9"/>
    <n v="9"/>
    <n v="5"/>
    <n v="5"/>
    <n v="9"/>
    <n v="7"/>
    <n v="16"/>
  </r>
  <r>
    <n v="187"/>
    <s v="Kalimpong"/>
    <x v="3"/>
    <s v="School 187"/>
    <n v="19240203601"/>
    <x v="2"/>
    <s v="Class 12"/>
    <s v="Class 1"/>
    <n v="28"/>
    <n v="26"/>
    <n v="54"/>
    <n v="31"/>
    <n v="6"/>
    <n v="7"/>
    <n v="10"/>
    <n v="9"/>
    <n v="6"/>
    <n v="8"/>
    <n v="14"/>
  </r>
  <r>
    <n v="188"/>
    <s v="Kalimpong"/>
    <x v="3"/>
    <s v="School 188"/>
    <n v="19240205701"/>
    <x v="0"/>
    <s v="Class 12"/>
    <s v="Class 9"/>
    <n v="21"/>
    <n v="39"/>
    <n v="60"/>
    <n v="43"/>
    <n v="7"/>
    <n v="5"/>
    <n v="5"/>
    <n v="6"/>
    <n v="7"/>
    <n v="10"/>
    <n v="17"/>
  </r>
  <r>
    <n v="189"/>
    <s v="Kalimpong"/>
    <x v="3"/>
    <s v="School 189"/>
    <n v="19240205209"/>
    <x v="2"/>
    <s v="Class 8"/>
    <s v="Class 6"/>
    <n v="21"/>
    <n v="33"/>
    <n v="54"/>
    <n v="30"/>
    <n v="8"/>
    <n v="7"/>
    <n v="9"/>
    <n v="5"/>
    <n v="10"/>
    <n v="0"/>
    <n v="10"/>
  </r>
  <r>
    <n v="190"/>
    <s v="Kalimpong"/>
    <x v="3"/>
    <s v="School 190"/>
    <n v="19240205207"/>
    <x v="1"/>
    <s v="Class 4"/>
    <s v="Class 1"/>
    <n v="40"/>
    <n v="40"/>
    <n v="80"/>
    <n v="60"/>
    <n v="5"/>
    <n v="5"/>
    <n v="10"/>
    <n v="8"/>
    <n v="3"/>
    <n v="5"/>
    <n v="8"/>
  </r>
  <r>
    <n v="191"/>
    <s v="Kalimpong"/>
    <x v="3"/>
    <s v="School 191"/>
    <n v="19240205202"/>
    <x v="0"/>
    <s v="Class 8"/>
    <s v="Pre-Primary"/>
    <n v="23"/>
    <n v="29"/>
    <n v="52"/>
    <n v="32"/>
    <n v="7"/>
    <n v="7"/>
    <n v="6"/>
    <n v="7"/>
    <n v="2"/>
    <n v="10"/>
    <n v="12"/>
  </r>
  <r>
    <n v="192"/>
    <s v="Kalimpong"/>
    <x v="3"/>
    <s v="School 192"/>
    <n v="19240207803"/>
    <x v="1"/>
    <s v="Class 10"/>
    <s v="Class 1"/>
    <n v="30"/>
    <n v="26"/>
    <n v="56"/>
    <n v="31"/>
    <n v="9"/>
    <n v="10"/>
    <n v="6"/>
    <n v="10"/>
    <n v="2"/>
    <n v="7"/>
    <n v="9"/>
  </r>
  <r>
    <n v="193"/>
    <s v="Kalimpong"/>
    <x v="3"/>
    <s v="School 193"/>
    <n v="19240200803"/>
    <x v="1"/>
    <s v="Class 5"/>
    <s v="Pre-Primary"/>
    <n v="23"/>
    <n v="29"/>
    <n v="52"/>
    <n v="33"/>
    <n v="6"/>
    <n v="5"/>
    <n v="8"/>
    <n v="6"/>
    <n v="5"/>
    <n v="8"/>
    <n v="13"/>
  </r>
  <r>
    <n v="194"/>
    <s v="Kalimpong"/>
    <x v="3"/>
    <s v="School 194"/>
    <n v="19240207901"/>
    <x v="1"/>
    <s v="Class 12"/>
    <s v="Class 1"/>
    <n v="29"/>
    <n v="27"/>
    <n v="56"/>
    <n v="29"/>
    <n v="10"/>
    <n v="9"/>
    <n v="8"/>
    <n v="8"/>
    <n v="1"/>
    <n v="2"/>
    <n v="3"/>
  </r>
  <r>
    <n v="195"/>
    <s v="Kalimpong"/>
    <x v="3"/>
    <s v="School 195"/>
    <n v="19240203402"/>
    <x v="0"/>
    <s v="Class 10"/>
    <s v="Class 6"/>
    <n v="25"/>
    <n v="26"/>
    <n v="51"/>
    <n v="22"/>
    <n v="10"/>
    <n v="9"/>
    <n v="10"/>
    <n v="5"/>
    <n v="4"/>
    <n v="9"/>
    <n v="13"/>
  </r>
  <r>
    <n v="196"/>
    <s v="Kalimpong"/>
    <x v="3"/>
    <s v="School 196"/>
    <n v="19240204602"/>
    <x v="1"/>
    <s v="Class 5"/>
    <s v="Class 1"/>
    <n v="29"/>
    <n v="36"/>
    <n v="65"/>
    <n v="44"/>
    <n v="7"/>
    <n v="6"/>
    <n v="8"/>
    <n v="5"/>
    <n v="7"/>
    <n v="7"/>
    <n v="14"/>
  </r>
  <r>
    <n v="197"/>
    <s v="Kalimpong"/>
    <x v="3"/>
    <s v="School 197"/>
    <n v="19240207101"/>
    <x v="2"/>
    <s v="Class 12"/>
    <s v="Class 1"/>
    <n v="26"/>
    <n v="24"/>
    <n v="50"/>
    <n v="23"/>
    <n v="10"/>
    <n v="9"/>
    <n v="8"/>
    <n v="6"/>
    <n v="8"/>
    <n v="8"/>
    <n v="16"/>
  </r>
  <r>
    <n v="198"/>
    <s v="Kalimpong"/>
    <x v="3"/>
    <s v="School 198"/>
    <n v="19240205401"/>
    <x v="0"/>
    <s v="Class 12"/>
    <s v="Class 9"/>
    <n v="20"/>
    <n v="37"/>
    <n v="57"/>
    <n v="37"/>
    <n v="6"/>
    <n v="7"/>
    <n v="7"/>
    <n v="6"/>
    <n v="6"/>
    <n v="6"/>
    <n v="12"/>
  </r>
  <r>
    <n v="199"/>
    <s v="Kalimpong"/>
    <x v="3"/>
    <s v="School 199"/>
    <n v="19240205501"/>
    <x v="2"/>
    <s v="Class 8"/>
    <s v="Class 6"/>
    <n v="31"/>
    <n v="31"/>
    <n v="62"/>
    <n v="33"/>
    <n v="9"/>
    <n v="10"/>
    <n v="10"/>
    <n v="7"/>
    <n v="6"/>
    <n v="10"/>
    <n v="16"/>
  </r>
  <r>
    <n v="200"/>
    <s v="Kalimpong"/>
    <x v="3"/>
    <s v="School 200"/>
    <n v="19240203501"/>
    <x v="1"/>
    <s v="Class 4"/>
    <s v="Class 1"/>
    <n v="29"/>
    <n v="34"/>
    <n v="63"/>
    <n v="41"/>
    <n v="5"/>
    <n v="8"/>
    <n v="9"/>
    <n v="10"/>
    <n v="4"/>
    <n v="5"/>
    <n v="9"/>
  </r>
  <r>
    <n v="201"/>
    <s v="Kalimpong"/>
    <x v="3"/>
    <s v="School 201"/>
    <n v="19240200705"/>
    <x v="0"/>
    <s v="Class 8"/>
    <s v="Pre-Primary"/>
    <n v="34"/>
    <n v="40"/>
    <n v="74"/>
    <n v="48"/>
    <n v="9"/>
    <n v="7"/>
    <n v="10"/>
    <n v="7"/>
    <n v="9"/>
    <n v="3"/>
    <n v="12"/>
  </r>
  <r>
    <n v="202"/>
    <s v="Kalimpong"/>
    <x v="3"/>
    <s v="School 202"/>
    <n v="19240204701"/>
    <x v="1"/>
    <s v="Class 10"/>
    <s v="Class 1"/>
    <n v="39"/>
    <n v="35"/>
    <n v="74"/>
    <n v="51"/>
    <n v="6"/>
    <n v="7"/>
    <n v="10"/>
    <n v="8"/>
    <n v="8"/>
    <n v="8"/>
    <n v="16"/>
  </r>
  <r>
    <n v="203"/>
    <s v="Kalimpong"/>
    <x v="3"/>
    <s v="School 203"/>
    <n v="19240204504"/>
    <x v="1"/>
    <s v="Class 5"/>
    <s v="Pre-Primary"/>
    <n v="24"/>
    <n v="33"/>
    <n v="57"/>
    <n v="40"/>
    <n v="6"/>
    <n v="6"/>
    <n v="5"/>
    <n v="9"/>
    <n v="6"/>
    <n v="9"/>
    <n v="15"/>
  </r>
  <r>
    <n v="204"/>
    <s v="Kalimpong"/>
    <x v="3"/>
    <s v="School 204"/>
    <n v="19240201103"/>
    <x v="1"/>
    <s v="Class 12"/>
    <s v="Class 1"/>
    <n v="37"/>
    <n v="31"/>
    <n v="68"/>
    <n v="44"/>
    <n v="10"/>
    <n v="8"/>
    <n v="6"/>
    <n v="7"/>
    <n v="7"/>
    <n v="7"/>
    <n v="14"/>
  </r>
  <r>
    <n v="205"/>
    <s v="Kalimpong"/>
    <x v="3"/>
    <s v="School 205"/>
    <n v="19240205601"/>
    <x v="0"/>
    <s v="Class 10"/>
    <s v="Class 6"/>
    <n v="33"/>
    <n v="27"/>
    <n v="60"/>
    <n v="40"/>
    <n v="10"/>
    <n v="5"/>
    <n v="5"/>
    <n v="8"/>
    <n v="5"/>
    <n v="3"/>
    <n v="8"/>
  </r>
  <r>
    <n v="206"/>
    <s v="Kalimpong"/>
    <x v="3"/>
    <s v="School 206"/>
    <n v="19240202801"/>
    <x v="1"/>
    <s v="Class 5"/>
    <s v="Class 1"/>
    <n v="37"/>
    <n v="23"/>
    <n v="60"/>
    <n v="42"/>
    <n v="7"/>
    <n v="5"/>
    <n v="6"/>
    <n v="10"/>
    <n v="4"/>
    <n v="6"/>
    <n v="10"/>
  </r>
  <r>
    <n v="207"/>
    <s v="Kalimpong"/>
    <x v="3"/>
    <s v="School 207"/>
    <n v="19240208202"/>
    <x v="2"/>
    <s v="Class 12"/>
    <s v="Class 1"/>
    <n v="21"/>
    <n v="39"/>
    <n v="60"/>
    <n v="39"/>
    <n v="8"/>
    <n v="6"/>
    <n v="7"/>
    <n v="6"/>
    <n v="10"/>
    <n v="4"/>
    <n v="14"/>
  </r>
  <r>
    <n v="208"/>
    <s v="Kalimpong"/>
    <x v="3"/>
    <s v="School 208"/>
    <n v="19240206801"/>
    <x v="0"/>
    <s v="Class 12"/>
    <s v="Class 9"/>
    <n v="25"/>
    <n v="26"/>
    <n v="51"/>
    <n v="28"/>
    <n v="6"/>
    <n v="8"/>
    <n v="9"/>
    <n v="10"/>
    <n v="1"/>
    <n v="10"/>
    <n v="11"/>
  </r>
  <r>
    <n v="209"/>
    <s v="Kalimpong"/>
    <x v="3"/>
    <s v="School 209"/>
    <n v="19240206103"/>
    <x v="2"/>
    <s v="Class 8"/>
    <s v="Class 6"/>
    <n v="21"/>
    <n v="24"/>
    <n v="45"/>
    <n v="24"/>
    <n v="6"/>
    <n v="6"/>
    <n v="9"/>
    <n v="10"/>
    <n v="7"/>
    <n v="0"/>
    <n v="7"/>
  </r>
  <r>
    <n v="210"/>
    <s v="Kalimpong"/>
    <x v="3"/>
    <s v="School 210"/>
    <n v="19240203202"/>
    <x v="1"/>
    <s v="Class 4"/>
    <s v="Class 1"/>
    <n v="30"/>
    <n v="28"/>
    <n v="58"/>
    <n v="37"/>
    <n v="6"/>
    <n v="9"/>
    <n v="6"/>
    <n v="6"/>
    <n v="1"/>
    <n v="7"/>
    <n v="8"/>
  </r>
  <r>
    <n v="211"/>
    <s v="Kalimpong"/>
    <x v="3"/>
    <s v="School 211"/>
    <n v="19240207301"/>
    <x v="0"/>
    <s v="Class 8"/>
    <s v="Pre-Primary"/>
    <n v="21"/>
    <n v="39"/>
    <n v="60"/>
    <n v="39"/>
    <n v="5"/>
    <n v="8"/>
    <n v="8"/>
    <n v="6"/>
    <n v="1"/>
    <n v="10"/>
    <n v="11"/>
  </r>
  <r>
    <n v="212"/>
    <s v="Kalimpong"/>
    <x v="3"/>
    <s v="School 212"/>
    <n v="19240203701"/>
    <x v="1"/>
    <s v="Class 10"/>
    <s v="Class 1"/>
    <n v="39"/>
    <n v="31"/>
    <n v="70"/>
    <n v="46"/>
    <n v="8"/>
    <n v="8"/>
    <n v="8"/>
    <n v="10"/>
    <n v="9"/>
    <n v="6"/>
    <n v="15"/>
  </r>
  <r>
    <n v="213"/>
    <s v="Kalimpong"/>
    <x v="3"/>
    <s v="School 213"/>
    <n v="19240205703"/>
    <x v="1"/>
    <s v="Class 5"/>
    <s v="Pre-Primary"/>
    <n v="37"/>
    <n v="40"/>
    <n v="77"/>
    <n v="53"/>
    <n v="10"/>
    <n v="5"/>
    <n v="9"/>
    <n v="5"/>
    <n v="1"/>
    <n v="9"/>
    <n v="10"/>
  </r>
  <r>
    <n v="214"/>
    <s v="Kalimpong"/>
    <x v="3"/>
    <s v="School 214"/>
    <n v="19240202507"/>
    <x v="1"/>
    <s v="Class 12"/>
    <s v="Class 1"/>
    <n v="37"/>
    <n v="26"/>
    <n v="63"/>
    <n v="36"/>
    <n v="10"/>
    <n v="8"/>
    <n v="9"/>
    <n v="7"/>
    <n v="8"/>
    <n v="5"/>
    <n v="13"/>
  </r>
  <r>
    <n v="215"/>
    <s v="Kalimpong"/>
    <x v="3"/>
    <s v="School 215"/>
    <n v="19240206601"/>
    <x v="0"/>
    <s v="Class 10"/>
    <s v="Class 6"/>
    <n v="26"/>
    <n v="33"/>
    <n v="59"/>
    <n v="36"/>
    <n v="8"/>
    <n v="6"/>
    <n v="9"/>
    <n v="8"/>
    <n v="4"/>
    <n v="5"/>
    <n v="9"/>
  </r>
  <r>
    <n v="216"/>
    <s v="Kalimpong"/>
    <x v="3"/>
    <s v="School 216"/>
    <n v="19240207601"/>
    <x v="1"/>
    <s v="Class 5"/>
    <s v="Class 1"/>
    <n v="28"/>
    <n v="33"/>
    <n v="61"/>
    <n v="36"/>
    <n v="10"/>
    <n v="6"/>
    <n v="9"/>
    <n v="6"/>
    <n v="4"/>
    <n v="5"/>
    <n v="9"/>
  </r>
  <r>
    <n v="217"/>
    <s v="Kalimpong"/>
    <x v="3"/>
    <s v="School 217"/>
    <n v="19240204502"/>
    <x v="2"/>
    <s v="Class 12"/>
    <s v="Class 1"/>
    <n v="33"/>
    <n v="24"/>
    <n v="57"/>
    <n v="35"/>
    <n v="9"/>
    <n v="5"/>
    <n v="8"/>
    <n v="9"/>
    <n v="3"/>
    <n v="7"/>
    <n v="10"/>
  </r>
  <r>
    <n v="218"/>
    <s v="Kalimpong"/>
    <x v="3"/>
    <s v="School 218"/>
    <n v="19240203002"/>
    <x v="0"/>
    <s v="Class 12"/>
    <s v="Class 9"/>
    <n v="28"/>
    <n v="23"/>
    <n v="51"/>
    <n v="30"/>
    <n v="8"/>
    <n v="7"/>
    <n v="6"/>
    <n v="10"/>
    <n v="4"/>
    <n v="10"/>
    <n v="14"/>
  </r>
  <r>
    <n v="219"/>
    <s v="Kalimpong"/>
    <x v="3"/>
    <s v="School 219"/>
    <n v="19240202505"/>
    <x v="2"/>
    <s v="Class 8"/>
    <s v="Class 6"/>
    <n v="28"/>
    <n v="38"/>
    <n v="66"/>
    <n v="46"/>
    <n v="6"/>
    <n v="9"/>
    <n v="5"/>
    <n v="8"/>
    <n v="2"/>
    <n v="4"/>
    <n v="6"/>
  </r>
  <r>
    <n v="220"/>
    <s v="Kalimpong"/>
    <x v="3"/>
    <s v="School 220"/>
    <n v="19240207002"/>
    <x v="1"/>
    <s v="Class 4"/>
    <s v="Class 1"/>
    <n v="34"/>
    <n v="35"/>
    <n v="69"/>
    <n v="44"/>
    <n v="10"/>
    <n v="9"/>
    <n v="6"/>
    <n v="5"/>
    <n v="8"/>
    <n v="4"/>
    <n v="12"/>
  </r>
  <r>
    <n v="221"/>
    <s v="Kalimpong"/>
    <x v="3"/>
    <s v="School 221"/>
    <n v="19240203401"/>
    <x v="0"/>
    <s v="Class 8"/>
    <s v="Pre-Primary"/>
    <n v="28"/>
    <n v="36"/>
    <n v="64"/>
    <n v="40"/>
    <n v="5"/>
    <n v="10"/>
    <n v="9"/>
    <n v="7"/>
    <n v="0"/>
    <n v="7"/>
    <n v="7"/>
  </r>
  <r>
    <n v="222"/>
    <s v="Kalimpong"/>
    <x v="3"/>
    <s v="School 222"/>
    <n v="19240207802"/>
    <x v="1"/>
    <s v="Class 10"/>
    <s v="Class 1"/>
    <n v="34"/>
    <n v="32"/>
    <n v="66"/>
    <n v="44"/>
    <n v="7"/>
    <n v="6"/>
    <n v="9"/>
    <n v="9"/>
    <n v="1"/>
    <n v="8"/>
    <n v="9"/>
  </r>
  <r>
    <n v="223"/>
    <s v="Kalimpong"/>
    <x v="3"/>
    <s v="School 223"/>
    <n v="19240207702"/>
    <x v="1"/>
    <s v="Class 5"/>
    <s v="Pre-Primary"/>
    <n v="31"/>
    <n v="36"/>
    <n v="67"/>
    <n v="47"/>
    <n v="8"/>
    <n v="7"/>
    <n v="5"/>
    <n v="8"/>
    <n v="4"/>
    <n v="0"/>
    <n v="4"/>
  </r>
  <r>
    <n v="224"/>
    <s v="Kalimpong"/>
    <x v="3"/>
    <s v="School 224"/>
    <n v="19240201504"/>
    <x v="1"/>
    <s v="Class 12"/>
    <s v="Class 1"/>
    <n v="25"/>
    <n v="33"/>
    <n v="58"/>
    <n v="37"/>
    <n v="7"/>
    <n v="6"/>
    <n v="8"/>
    <n v="10"/>
    <n v="0"/>
    <n v="3"/>
    <n v="3"/>
  </r>
  <r>
    <n v="225"/>
    <s v="Kalimpong"/>
    <x v="3"/>
    <s v="School 225"/>
    <n v="19240200710"/>
    <x v="0"/>
    <s v="Class 10"/>
    <s v="Class 6"/>
    <n v="35"/>
    <n v="37"/>
    <n v="72"/>
    <n v="51"/>
    <n v="6"/>
    <n v="6"/>
    <n v="9"/>
    <n v="8"/>
    <n v="0"/>
    <n v="6"/>
    <n v="6"/>
  </r>
  <r>
    <n v="226"/>
    <s v="Kalimpong"/>
    <x v="3"/>
    <s v="School 226"/>
    <n v="19240208101"/>
    <x v="1"/>
    <s v="Class 5"/>
    <s v="Class 1"/>
    <n v="29"/>
    <n v="32"/>
    <n v="61"/>
    <n v="36"/>
    <n v="9"/>
    <n v="10"/>
    <n v="6"/>
    <n v="6"/>
    <n v="2"/>
    <n v="7"/>
    <n v="9"/>
  </r>
  <r>
    <n v="227"/>
    <s v="Kalimpong"/>
    <x v="3"/>
    <s v="School 227"/>
    <n v="19240200501"/>
    <x v="2"/>
    <s v="Class 12"/>
    <s v="Class 1"/>
    <n v="24"/>
    <n v="33"/>
    <n v="57"/>
    <n v="35"/>
    <n v="9"/>
    <n v="6"/>
    <n v="7"/>
    <n v="10"/>
    <n v="8"/>
    <n v="5"/>
    <n v="13"/>
  </r>
  <r>
    <n v="228"/>
    <s v="Kalimpong"/>
    <x v="3"/>
    <s v="School 228"/>
    <n v="19240204903"/>
    <x v="0"/>
    <s v="Class 12"/>
    <s v="Class 9"/>
    <n v="22"/>
    <n v="28"/>
    <n v="50"/>
    <n v="28"/>
    <n v="7"/>
    <n v="9"/>
    <n v="6"/>
    <n v="7"/>
    <n v="7"/>
    <n v="6"/>
    <n v="13"/>
  </r>
  <r>
    <n v="229"/>
    <s v="Kalimpong"/>
    <x v="3"/>
    <s v="School 229"/>
    <n v="19240204601"/>
    <x v="2"/>
    <s v="Class 8"/>
    <s v="Class 6"/>
    <n v="21"/>
    <n v="27"/>
    <n v="48"/>
    <n v="18"/>
    <n v="10"/>
    <n v="10"/>
    <n v="10"/>
    <n v="5"/>
    <n v="3"/>
    <n v="5"/>
    <n v="8"/>
  </r>
  <r>
    <n v="230"/>
    <s v="Kalimpong"/>
    <x v="3"/>
    <s v="School 230"/>
    <n v="19240200708"/>
    <x v="1"/>
    <s v="Class 4"/>
    <s v="Class 1"/>
    <n v="37"/>
    <n v="21"/>
    <n v="58"/>
    <n v="33"/>
    <n v="5"/>
    <n v="10"/>
    <n v="10"/>
    <n v="6"/>
    <n v="4"/>
    <n v="8"/>
    <n v="12"/>
  </r>
  <r>
    <n v="231"/>
    <s v="Kalimpong"/>
    <x v="3"/>
    <s v="School 231"/>
    <n v="19240206201"/>
    <x v="0"/>
    <s v="Class 8"/>
    <s v="Pre-Primary"/>
    <n v="20"/>
    <n v="28"/>
    <n v="48"/>
    <n v="30"/>
    <n v="8"/>
    <n v="5"/>
    <n v="5"/>
    <n v="8"/>
    <n v="7"/>
    <n v="4"/>
    <n v="11"/>
  </r>
  <r>
    <n v="232"/>
    <s v="Kalimpong"/>
    <x v="3"/>
    <s v="School 232"/>
    <n v="19240201101"/>
    <x v="1"/>
    <s v="Class 10"/>
    <s v="Class 1"/>
    <n v="20"/>
    <n v="30"/>
    <n v="50"/>
    <n v="33"/>
    <n v="5"/>
    <n v="6"/>
    <n v="6"/>
    <n v="6"/>
    <n v="8"/>
    <n v="3"/>
    <n v="11"/>
  </r>
  <r>
    <n v="233"/>
    <s v="Kalimpong"/>
    <x v="3"/>
    <s v="School 233"/>
    <n v="19240206102"/>
    <x v="1"/>
    <s v="Class 5"/>
    <s v="Pre-Primary"/>
    <n v="23"/>
    <n v="35"/>
    <n v="58"/>
    <n v="32"/>
    <n v="7"/>
    <n v="10"/>
    <n v="9"/>
    <n v="10"/>
    <n v="3"/>
    <n v="9"/>
    <n v="12"/>
  </r>
  <r>
    <n v="234"/>
    <s v="Kalimpong"/>
    <x v="3"/>
    <s v="School 234"/>
    <n v="19240208401"/>
    <x v="1"/>
    <s v="Class 12"/>
    <s v="Class 1"/>
    <n v="20"/>
    <n v="21"/>
    <n v="41"/>
    <n v="18"/>
    <n v="10"/>
    <n v="8"/>
    <n v="5"/>
    <n v="8"/>
    <n v="8"/>
    <n v="8"/>
    <n v="16"/>
  </r>
  <r>
    <n v="235"/>
    <s v="Kalimpong"/>
    <x v="3"/>
    <s v="School 235"/>
    <n v="19240205001"/>
    <x v="0"/>
    <s v="Class 10"/>
    <s v="Class 6"/>
    <n v="25"/>
    <n v="33"/>
    <n v="58"/>
    <n v="33"/>
    <n v="10"/>
    <n v="7"/>
    <n v="8"/>
    <n v="10"/>
    <n v="10"/>
    <n v="5"/>
    <n v="15"/>
  </r>
  <r>
    <n v="236"/>
    <s v="Kalimpong"/>
    <x v="3"/>
    <s v="School 236"/>
    <n v="19240207401"/>
    <x v="1"/>
    <s v="Class 5"/>
    <s v="Class 1"/>
    <n v="25"/>
    <n v="39"/>
    <n v="64"/>
    <n v="41"/>
    <n v="10"/>
    <n v="5"/>
    <n v="8"/>
    <n v="6"/>
    <n v="9"/>
    <n v="0"/>
    <n v="9"/>
  </r>
  <r>
    <n v="237"/>
    <s v="Kalimpong"/>
    <x v="3"/>
    <s v="School 237"/>
    <n v="19240200902"/>
    <x v="2"/>
    <s v="Class 12"/>
    <s v="Class 1"/>
    <n v="30"/>
    <n v="30"/>
    <n v="60"/>
    <n v="38"/>
    <n v="9"/>
    <n v="7"/>
    <n v="6"/>
    <n v="8"/>
    <n v="1"/>
    <n v="5"/>
    <n v="6"/>
  </r>
  <r>
    <n v="238"/>
    <s v="Kalimpong"/>
    <x v="3"/>
    <s v="School 238"/>
    <n v="19240200801"/>
    <x v="0"/>
    <s v="Class 12"/>
    <s v="Class 9"/>
    <n v="23"/>
    <n v="39"/>
    <n v="62"/>
    <n v="35"/>
    <n v="10"/>
    <n v="9"/>
    <n v="8"/>
    <n v="6"/>
    <n v="10"/>
    <n v="10"/>
    <n v="20"/>
  </r>
  <r>
    <n v="239"/>
    <s v="Kalimpong"/>
    <x v="3"/>
    <s v="School 239"/>
    <n v="19240205301"/>
    <x v="2"/>
    <s v="Class 8"/>
    <s v="Class 6"/>
    <n v="31"/>
    <n v="25"/>
    <n v="56"/>
    <n v="37"/>
    <n v="7"/>
    <n v="5"/>
    <n v="7"/>
    <n v="7"/>
    <n v="7"/>
    <n v="6"/>
    <n v="13"/>
  </r>
  <r>
    <n v="240"/>
    <s v="Kalimpong"/>
    <x v="3"/>
    <s v="School 240"/>
    <n v="19240204501"/>
    <x v="1"/>
    <s v="Class 4"/>
    <s v="Class 1"/>
    <n v="35"/>
    <n v="27"/>
    <n v="62"/>
    <n v="37"/>
    <n v="7"/>
    <n v="9"/>
    <n v="9"/>
    <n v="5"/>
    <n v="0"/>
    <n v="5"/>
    <n v="5"/>
  </r>
  <r>
    <n v="241"/>
    <s v="Kalimpong"/>
    <x v="3"/>
    <s v="School 241"/>
    <n v="19240206101"/>
    <x v="0"/>
    <s v="Class 8"/>
    <s v="Pre-Primary"/>
    <n v="36"/>
    <n v="20"/>
    <n v="56"/>
    <n v="34"/>
    <n v="9"/>
    <n v="6"/>
    <n v="7"/>
    <n v="9"/>
    <n v="9"/>
    <n v="6"/>
    <n v="15"/>
  </r>
  <r>
    <n v="242"/>
    <s v="Kalimpong"/>
    <x v="3"/>
    <s v="School 242"/>
    <n v="19240208001"/>
    <x v="1"/>
    <s v="Class 10"/>
    <s v="Class 1"/>
    <n v="35"/>
    <n v="30"/>
    <n v="65"/>
    <n v="44"/>
    <n v="6"/>
    <n v="10"/>
    <n v="5"/>
    <n v="7"/>
    <n v="5"/>
    <n v="7"/>
    <n v="12"/>
  </r>
  <r>
    <n v="243"/>
    <s v="Kalimpong"/>
    <x v="3"/>
    <s v="School 243"/>
    <n v="19240202202"/>
    <x v="1"/>
    <s v="Class 5"/>
    <s v="Pre-Primary"/>
    <n v="26"/>
    <n v="31"/>
    <n v="57"/>
    <n v="36"/>
    <n v="5"/>
    <n v="8"/>
    <n v="8"/>
    <n v="6"/>
    <n v="7"/>
    <n v="2"/>
    <n v="9"/>
  </r>
  <r>
    <n v="244"/>
    <s v="Kalimpong"/>
    <x v="3"/>
    <s v="School 244"/>
    <n v="19240202504"/>
    <x v="1"/>
    <s v="Class 12"/>
    <s v="Class 1"/>
    <n v="26"/>
    <n v="36"/>
    <n v="62"/>
    <n v="38"/>
    <n v="10"/>
    <n v="8"/>
    <n v="6"/>
    <n v="6"/>
    <n v="1"/>
    <n v="0"/>
    <n v="1"/>
  </r>
  <r>
    <n v="245"/>
    <s v="Kalimpong"/>
    <x v="3"/>
    <s v="School 245"/>
    <n v="19240202508"/>
    <x v="0"/>
    <s v="Class 10"/>
    <s v="Class 6"/>
    <n v="33"/>
    <n v="39"/>
    <n v="72"/>
    <n v="48"/>
    <n v="5"/>
    <n v="9"/>
    <n v="10"/>
    <n v="8"/>
    <n v="10"/>
    <n v="8"/>
    <n v="18"/>
  </r>
  <r>
    <n v="246"/>
    <s v="Kalimpong"/>
    <x v="3"/>
    <s v="School 246"/>
    <n v="19240202501"/>
    <x v="1"/>
    <s v="Class 5"/>
    <s v="Class 1"/>
    <n v="29"/>
    <n v="23"/>
    <n v="52"/>
    <n v="27"/>
    <n v="10"/>
    <n v="9"/>
    <n v="6"/>
    <n v="6"/>
    <n v="7"/>
    <n v="9"/>
    <n v="16"/>
  </r>
  <r>
    <n v="247"/>
    <s v="Kalimpong"/>
    <x v="3"/>
    <s v="School 247"/>
    <n v="19240200711"/>
    <x v="2"/>
    <s v="Class 12"/>
    <s v="Class 1"/>
    <n v="31"/>
    <n v="27"/>
    <n v="58"/>
    <n v="34"/>
    <n v="10"/>
    <n v="6"/>
    <n v="8"/>
    <n v="5"/>
    <n v="7"/>
    <n v="7"/>
    <n v="14"/>
  </r>
  <r>
    <n v="248"/>
    <s v="Kalimpong"/>
    <x v="3"/>
    <s v="School 248"/>
    <n v="19240205801"/>
    <x v="0"/>
    <s v="Class 12"/>
    <s v="Class 9"/>
    <n v="39"/>
    <n v="29"/>
    <n v="68"/>
    <n v="51"/>
    <n v="5"/>
    <n v="5"/>
    <n v="7"/>
    <n v="6"/>
    <n v="10"/>
    <n v="2"/>
    <n v="12"/>
  </r>
  <r>
    <n v="249"/>
    <s v="Kalimpong"/>
    <x v="3"/>
    <s v="School 249"/>
    <n v="19240202901"/>
    <x v="2"/>
    <s v="Class 8"/>
    <s v="Class 6"/>
    <n v="29"/>
    <n v="38"/>
    <n v="67"/>
    <n v="41"/>
    <n v="9"/>
    <n v="8"/>
    <n v="9"/>
    <n v="7"/>
    <n v="9"/>
    <n v="6"/>
    <n v="15"/>
  </r>
  <r>
    <n v="250"/>
    <s v="Kalimpong"/>
    <x v="3"/>
    <s v="School 250"/>
    <n v="19240200701"/>
    <x v="1"/>
    <s v="Class 4"/>
    <s v="Class 1"/>
    <n v="39"/>
    <n v="31"/>
    <n v="70"/>
    <n v="46"/>
    <n v="6"/>
    <n v="8"/>
    <n v="10"/>
    <n v="9"/>
    <n v="6"/>
    <n v="10"/>
    <n v="16"/>
  </r>
  <r>
    <n v="251"/>
    <s v="Kalimpong"/>
    <x v="3"/>
    <s v="School 251"/>
    <n v="19240200804"/>
    <x v="0"/>
    <s v="Class 8"/>
    <s v="Pre-Primary"/>
    <n v="38"/>
    <n v="29"/>
    <n v="67"/>
    <n v="48"/>
    <n v="7"/>
    <n v="5"/>
    <n v="7"/>
    <n v="7"/>
    <n v="1"/>
    <n v="7"/>
    <n v="8"/>
  </r>
  <r>
    <n v="252"/>
    <s v="Kalimpong"/>
    <x v="3"/>
    <s v="School 252"/>
    <n v="19240207701"/>
    <x v="1"/>
    <s v="Class 10"/>
    <s v="Class 1"/>
    <n v="22"/>
    <n v="28"/>
    <n v="50"/>
    <n v="27"/>
    <n v="10"/>
    <n v="8"/>
    <n v="5"/>
    <n v="7"/>
    <n v="6"/>
    <n v="6"/>
    <n v="12"/>
  </r>
  <r>
    <n v="253"/>
    <s v="Kalimpong"/>
    <x v="3"/>
    <s v="School 253"/>
    <n v="19240202401"/>
    <x v="1"/>
    <s v="Class 5"/>
    <s v="Pre-Primary"/>
    <n v="32"/>
    <n v="20"/>
    <n v="52"/>
    <n v="33"/>
    <n v="6"/>
    <n v="6"/>
    <n v="7"/>
    <n v="9"/>
    <n v="10"/>
    <n v="5"/>
    <n v="15"/>
  </r>
  <r>
    <n v="254"/>
    <s v="Kalimpong"/>
    <x v="3"/>
    <s v="School 254"/>
    <n v="19240204401"/>
    <x v="1"/>
    <s v="Class 12"/>
    <s v="Class 1"/>
    <n v="27"/>
    <n v="21"/>
    <n v="48"/>
    <n v="24"/>
    <n v="9"/>
    <n v="9"/>
    <n v="6"/>
    <n v="8"/>
    <n v="1"/>
    <n v="2"/>
    <n v="3"/>
  </r>
  <r>
    <n v="255"/>
    <s v="Kalimpong"/>
    <x v="3"/>
    <s v="School 255"/>
    <n v="19240204201"/>
    <x v="0"/>
    <s v="Class 10"/>
    <s v="Class 6"/>
    <n v="21"/>
    <n v="33"/>
    <n v="54"/>
    <n v="32"/>
    <n v="8"/>
    <n v="8"/>
    <n v="6"/>
    <n v="9"/>
    <n v="10"/>
    <n v="1"/>
    <n v="11"/>
  </r>
  <r>
    <n v="256"/>
    <s v="Kalimpong"/>
    <x v="3"/>
    <s v="School 256"/>
    <n v="19240201902"/>
    <x v="1"/>
    <s v="Class 5"/>
    <s v="Class 1"/>
    <n v="29"/>
    <n v="29"/>
    <n v="58"/>
    <n v="37"/>
    <n v="5"/>
    <n v="8"/>
    <n v="8"/>
    <n v="5"/>
    <n v="8"/>
    <n v="0"/>
    <n v="8"/>
  </r>
  <r>
    <n v="257"/>
    <s v="Kalimpong"/>
    <x v="3"/>
    <s v="School 257"/>
    <n v="19240202701"/>
    <x v="2"/>
    <s v="Class 12"/>
    <s v="Class 1"/>
    <n v="24"/>
    <n v="24"/>
    <n v="48"/>
    <n v="28"/>
    <n v="9"/>
    <n v="5"/>
    <n v="6"/>
    <n v="5"/>
    <n v="9"/>
    <n v="5"/>
    <n v="14"/>
  </r>
  <r>
    <n v="258"/>
    <s v="Kalimpong"/>
    <x v="2"/>
    <s v="School 258"/>
    <n v="19240301803"/>
    <x v="0"/>
    <s v="Class 12"/>
    <s v="Class 9"/>
    <n v="28"/>
    <n v="24"/>
    <n v="52"/>
    <n v="26"/>
    <n v="7"/>
    <n v="9"/>
    <n v="10"/>
    <n v="6"/>
    <n v="4"/>
    <n v="4"/>
    <n v="8"/>
  </r>
  <r>
    <n v="259"/>
    <s v="Kalimpong"/>
    <x v="3"/>
    <s v="School 259"/>
    <n v="19240200601"/>
    <x v="2"/>
    <s v="Class 8"/>
    <s v="Class 6"/>
    <n v="32"/>
    <n v="40"/>
    <n v="72"/>
    <n v="43"/>
    <n v="10"/>
    <n v="9"/>
    <n v="10"/>
    <n v="10"/>
    <n v="3"/>
    <n v="7"/>
    <n v="10"/>
  </r>
  <r>
    <n v="260"/>
    <s v="Kalimpong"/>
    <x v="2"/>
    <s v="School 260"/>
    <n v="19240301102"/>
    <x v="1"/>
    <s v="Class 4"/>
    <s v="Class 1"/>
    <n v="33"/>
    <n v="22"/>
    <n v="55"/>
    <n v="36"/>
    <n v="8"/>
    <n v="6"/>
    <n v="5"/>
    <n v="5"/>
    <n v="8"/>
    <n v="9"/>
    <n v="17"/>
  </r>
  <r>
    <n v="261"/>
    <s v="Kalimpong"/>
    <x v="3"/>
    <s v="School 261"/>
    <n v="19240201801"/>
    <x v="0"/>
    <s v="Class 8"/>
    <s v="Pre-Primary"/>
    <n v="26"/>
    <n v="24"/>
    <n v="50"/>
    <n v="30"/>
    <n v="8"/>
    <n v="6"/>
    <n v="6"/>
    <n v="6"/>
    <n v="9"/>
    <n v="10"/>
    <n v="19"/>
  </r>
  <r>
    <n v="262"/>
    <s v="Kalimpong"/>
    <x v="3"/>
    <s v="School 262"/>
    <n v="19240206002"/>
    <x v="1"/>
    <s v="Class 10"/>
    <s v="Class 1"/>
    <n v="30"/>
    <n v="39"/>
    <n v="69"/>
    <n v="46"/>
    <n v="8"/>
    <n v="8"/>
    <n v="7"/>
    <n v="9"/>
    <n v="10"/>
    <n v="9"/>
    <n v="19"/>
  </r>
  <r>
    <n v="263"/>
    <s v="Kalimpong"/>
    <x v="3"/>
    <s v="School 263"/>
    <n v="19240204301"/>
    <x v="1"/>
    <s v="Class 5"/>
    <s v="Pre-Primary"/>
    <n v="36"/>
    <n v="34"/>
    <n v="70"/>
    <n v="50"/>
    <n v="9"/>
    <n v="6"/>
    <n v="5"/>
    <n v="10"/>
    <n v="5"/>
    <n v="9"/>
    <n v="14"/>
  </r>
  <r>
    <n v="264"/>
    <s v="Kalimpong"/>
    <x v="3"/>
    <s v="School 264"/>
    <n v="19240205206"/>
    <x v="1"/>
    <s v="Class 12"/>
    <s v="Class 1"/>
    <n v="27"/>
    <n v="40"/>
    <n v="67"/>
    <n v="44"/>
    <n v="8"/>
    <n v="7"/>
    <n v="8"/>
    <n v="8"/>
    <n v="3"/>
    <n v="9"/>
    <n v="12"/>
  </r>
  <r>
    <n v="265"/>
    <s v="Kalimpong"/>
    <x v="3"/>
    <s v="School 265"/>
    <n v="19240201001"/>
    <x v="0"/>
    <s v="Class 10"/>
    <s v="Class 6"/>
    <n v="35"/>
    <n v="26"/>
    <n v="61"/>
    <n v="40"/>
    <n v="7"/>
    <n v="9"/>
    <n v="5"/>
    <n v="7"/>
    <n v="9"/>
    <n v="8"/>
    <n v="17"/>
  </r>
  <r>
    <n v="266"/>
    <s v="Kalimpong"/>
    <x v="3"/>
    <s v="School 266"/>
    <n v="19240202302"/>
    <x v="1"/>
    <s v="Class 5"/>
    <s v="Class 1"/>
    <n v="29"/>
    <n v="27"/>
    <n v="56"/>
    <n v="34"/>
    <n v="10"/>
    <n v="5"/>
    <n v="7"/>
    <n v="5"/>
    <n v="7"/>
    <n v="9"/>
    <n v="16"/>
  </r>
  <r>
    <n v="267"/>
    <s v="Kalimpong"/>
    <x v="3"/>
    <s v="School 267"/>
    <n v="19240205205"/>
    <x v="2"/>
    <s v="Class 12"/>
    <s v="Class 1"/>
    <n v="28"/>
    <n v="31"/>
    <n v="59"/>
    <n v="41"/>
    <n v="8"/>
    <n v="5"/>
    <n v="5"/>
    <n v="6"/>
    <n v="5"/>
    <n v="7"/>
    <n v="12"/>
  </r>
  <r>
    <n v="268"/>
    <s v="Kalimpong"/>
    <x v="3"/>
    <s v="School 268"/>
    <n v="19240202301"/>
    <x v="0"/>
    <s v="Class 12"/>
    <s v="Class 9"/>
    <n v="20"/>
    <n v="39"/>
    <n v="59"/>
    <n v="36"/>
    <n v="8"/>
    <n v="10"/>
    <n v="5"/>
    <n v="9"/>
    <n v="6"/>
    <n v="10"/>
    <n v="16"/>
  </r>
  <r>
    <n v="269"/>
    <s v="Kalimpong"/>
    <x v="3"/>
    <s v="School 269"/>
    <n v="19240205702"/>
    <x v="2"/>
    <s v="Class 8"/>
    <s v="Class 6"/>
    <n v="21"/>
    <n v="22"/>
    <n v="43"/>
    <n v="21"/>
    <n v="7"/>
    <n v="6"/>
    <n v="9"/>
    <n v="7"/>
    <n v="9"/>
    <n v="8"/>
    <n v="17"/>
  </r>
  <r>
    <n v="270"/>
    <s v="Kalimpong"/>
    <x v="2"/>
    <s v="School 270"/>
    <n v="19240300601"/>
    <x v="1"/>
    <s v="Class 4"/>
    <s v="Class 1"/>
    <n v="31"/>
    <n v="34"/>
    <n v="65"/>
    <n v="40"/>
    <n v="10"/>
    <n v="8"/>
    <n v="7"/>
    <n v="9"/>
    <n v="8"/>
    <n v="5"/>
    <n v="13"/>
  </r>
  <r>
    <n v="271"/>
    <s v="Kalimpong"/>
    <x v="3"/>
    <s v="School 271"/>
    <n v="19240207001"/>
    <x v="0"/>
    <s v="Class 8"/>
    <s v="Pre-Primary"/>
    <n v="37"/>
    <n v="38"/>
    <n v="75"/>
    <n v="50"/>
    <n v="6"/>
    <n v="10"/>
    <n v="9"/>
    <n v="5"/>
    <n v="8"/>
    <n v="7"/>
    <n v="15"/>
  </r>
  <r>
    <n v="272"/>
    <s v="Kalimpong"/>
    <x v="3"/>
    <s v="School 272"/>
    <n v="19240202001"/>
    <x v="1"/>
    <s v="Class 10"/>
    <s v="Class 1"/>
    <n v="36"/>
    <n v="29"/>
    <n v="65"/>
    <n v="46"/>
    <n v="7"/>
    <n v="7"/>
    <n v="5"/>
    <n v="10"/>
    <n v="10"/>
    <n v="7"/>
    <n v="17"/>
  </r>
  <r>
    <n v="273"/>
    <s v="Kalimpong"/>
    <x v="3"/>
    <s v="School 273"/>
    <n v="19240203001"/>
    <x v="1"/>
    <s v="Class 5"/>
    <s v="Pre-Primary"/>
    <n v="39"/>
    <n v="38"/>
    <n v="77"/>
    <n v="61"/>
    <n v="5"/>
    <n v="6"/>
    <n v="5"/>
    <n v="10"/>
    <n v="3"/>
    <n v="6"/>
    <n v="9"/>
  </r>
  <r>
    <n v="274"/>
    <s v="Kalimpong"/>
    <x v="3"/>
    <s v="School 274"/>
    <n v="19240201202"/>
    <x v="1"/>
    <s v="Class 12"/>
    <s v="Class 1"/>
    <n v="25"/>
    <n v="32"/>
    <n v="57"/>
    <n v="31"/>
    <n v="9"/>
    <n v="7"/>
    <n v="10"/>
    <n v="5"/>
    <n v="2"/>
    <n v="8"/>
    <n v="10"/>
  </r>
  <r>
    <n v="275"/>
    <s v="Kalimpong"/>
    <x v="3"/>
    <s v="School 275"/>
    <n v="19240204101"/>
    <x v="0"/>
    <s v="Class 10"/>
    <s v="Class 6"/>
    <n v="28"/>
    <n v="20"/>
    <n v="48"/>
    <n v="26"/>
    <n v="6"/>
    <n v="9"/>
    <n v="7"/>
    <n v="5"/>
    <n v="1"/>
    <n v="9"/>
    <n v="10"/>
  </r>
  <r>
    <n v="276"/>
    <s v="Kalimpong"/>
    <x v="3"/>
    <s v="School 276"/>
    <n v="19240206502"/>
    <x v="1"/>
    <s v="Class 5"/>
    <s v="Class 1"/>
    <n v="38"/>
    <n v="28"/>
    <n v="66"/>
    <n v="42"/>
    <n v="7"/>
    <n v="8"/>
    <n v="9"/>
    <n v="7"/>
    <n v="1"/>
    <n v="3"/>
    <n v="4"/>
  </r>
  <r>
    <n v="277"/>
    <s v="Kalimpong"/>
    <x v="2"/>
    <s v="School 277"/>
    <n v="19240300102"/>
    <x v="2"/>
    <s v="Class 12"/>
    <s v="Class 1"/>
    <n v="40"/>
    <n v="29"/>
    <n v="69"/>
    <n v="41"/>
    <n v="10"/>
    <n v="9"/>
    <n v="9"/>
    <n v="6"/>
    <n v="8"/>
    <n v="5"/>
    <n v="13"/>
  </r>
  <r>
    <n v="278"/>
    <s v="Kalimpong"/>
    <x v="3"/>
    <s v="School 278"/>
    <n v="19240206901"/>
    <x v="0"/>
    <s v="Class 12"/>
    <s v="Class 9"/>
    <n v="34"/>
    <n v="21"/>
    <n v="55"/>
    <n v="32"/>
    <n v="7"/>
    <n v="6"/>
    <n v="10"/>
    <n v="8"/>
    <n v="5"/>
    <n v="9"/>
    <n v="14"/>
  </r>
  <r>
    <n v="279"/>
    <s v="Kalimpong"/>
    <x v="3"/>
    <s v="School 279"/>
    <n v="19240205901"/>
    <x v="2"/>
    <s v="Class 8"/>
    <s v="Class 6"/>
    <n v="32"/>
    <n v="29"/>
    <n v="61"/>
    <n v="39"/>
    <n v="7"/>
    <n v="5"/>
    <n v="10"/>
    <n v="5"/>
    <n v="9"/>
    <n v="5"/>
    <n v="14"/>
  </r>
  <r>
    <n v="280"/>
    <s v="Kalimpong"/>
    <x v="3"/>
    <s v="School 280"/>
    <n v="19240201905"/>
    <x v="1"/>
    <s v="Class 4"/>
    <s v="Class 1"/>
    <n v="32"/>
    <n v="28"/>
    <n v="60"/>
    <n v="37"/>
    <n v="5"/>
    <n v="8"/>
    <n v="10"/>
    <n v="8"/>
    <n v="7"/>
    <n v="6"/>
    <n v="13"/>
  </r>
  <r>
    <n v="281"/>
    <s v="Kalimpong"/>
    <x v="3"/>
    <s v="School 281"/>
    <n v="19240204503"/>
    <x v="0"/>
    <s v="Class 8"/>
    <s v="Pre-Primary"/>
    <n v="20"/>
    <n v="30"/>
    <n v="50"/>
    <n v="24"/>
    <n v="10"/>
    <n v="9"/>
    <n v="7"/>
    <n v="6"/>
    <n v="5"/>
    <n v="10"/>
    <n v="15"/>
  </r>
  <r>
    <n v="282"/>
    <s v="Kalimpong"/>
    <x v="3"/>
    <s v="School 282"/>
    <n v="19240207502"/>
    <x v="1"/>
    <s v="Class 10"/>
    <s v="Class 1"/>
    <n v="33"/>
    <n v="40"/>
    <n v="73"/>
    <n v="50"/>
    <n v="8"/>
    <n v="6"/>
    <n v="9"/>
    <n v="7"/>
    <n v="10"/>
    <n v="4"/>
    <n v="14"/>
  </r>
  <r>
    <n v="283"/>
    <s v="Kalimpong"/>
    <x v="3"/>
    <s v="School 283"/>
    <n v="19240208303"/>
    <x v="1"/>
    <s v="Class 5"/>
    <s v="Pre-Primary"/>
    <n v="24"/>
    <n v="26"/>
    <n v="50"/>
    <n v="25"/>
    <n v="9"/>
    <n v="10"/>
    <n v="6"/>
    <n v="9"/>
    <n v="3"/>
    <n v="6"/>
    <n v="9"/>
  </r>
  <r>
    <n v="284"/>
    <s v="Kalimpong"/>
    <x v="3"/>
    <s v="School 284"/>
    <n v="19240206001"/>
    <x v="1"/>
    <s v="Class 12"/>
    <s v="Class 1"/>
    <n v="31"/>
    <n v="28"/>
    <n v="59"/>
    <n v="34"/>
    <n v="8"/>
    <n v="9"/>
    <n v="8"/>
    <n v="5"/>
    <n v="4"/>
    <n v="5"/>
    <n v="9"/>
  </r>
  <r>
    <n v="285"/>
    <s v="Kalimpong"/>
    <x v="3"/>
    <s v="School 285"/>
    <n v="19240201501"/>
    <x v="0"/>
    <s v="Class 10"/>
    <s v="Class 6"/>
    <n v="23"/>
    <n v="40"/>
    <n v="63"/>
    <n v="42"/>
    <n v="10"/>
    <n v="5"/>
    <n v="6"/>
    <n v="8"/>
    <n v="9"/>
    <n v="2"/>
    <n v="11"/>
  </r>
  <r>
    <n v="286"/>
    <s v="Kalimpong"/>
    <x v="3"/>
    <s v="School 286"/>
    <n v="19240206501"/>
    <x v="1"/>
    <s v="Class 5"/>
    <s v="Class 1"/>
    <n v="34"/>
    <n v="23"/>
    <n v="57"/>
    <n v="33"/>
    <n v="5"/>
    <n v="9"/>
    <n v="10"/>
    <n v="6"/>
    <n v="5"/>
    <n v="10"/>
    <n v="15"/>
  </r>
  <r>
    <n v="287"/>
    <s v="Kalimpong"/>
    <x v="3"/>
    <s v="School 287"/>
    <n v="19240200103"/>
    <x v="2"/>
    <s v="Class 12"/>
    <s v="Class 1"/>
    <n v="36"/>
    <n v="35"/>
    <n v="71"/>
    <n v="44"/>
    <n v="8"/>
    <n v="10"/>
    <n v="9"/>
    <n v="8"/>
    <n v="8"/>
    <n v="6"/>
    <n v="14"/>
  </r>
  <r>
    <n v="288"/>
    <s v="Kalimpong"/>
    <x v="3"/>
    <s v="School 288"/>
    <n v="19240201403"/>
    <x v="0"/>
    <s v="Class 12"/>
    <s v="Class 9"/>
    <n v="31"/>
    <n v="25"/>
    <n v="56"/>
    <n v="35"/>
    <n v="6"/>
    <n v="10"/>
    <n v="5"/>
    <n v="6"/>
    <n v="9"/>
    <n v="6"/>
    <n v="15"/>
  </r>
  <r>
    <n v="289"/>
    <s v="Kalimpong"/>
    <x v="3"/>
    <s v="School 289"/>
    <n v="19240201601"/>
    <x v="2"/>
    <s v="Class 8"/>
    <s v="Class 6"/>
    <n v="31"/>
    <n v="38"/>
    <n v="69"/>
    <n v="45"/>
    <n v="7"/>
    <n v="9"/>
    <n v="8"/>
    <n v="9"/>
    <n v="0"/>
    <n v="10"/>
    <n v="10"/>
  </r>
  <r>
    <n v="290"/>
    <s v="Kalimpong"/>
    <x v="3"/>
    <s v="School 290"/>
    <n v="19240200403"/>
    <x v="1"/>
    <s v="Class 4"/>
    <s v="Class 1"/>
    <n v="39"/>
    <n v="39"/>
    <n v="78"/>
    <n v="62"/>
    <n v="5"/>
    <n v="5"/>
    <n v="6"/>
    <n v="6"/>
    <n v="9"/>
    <n v="3"/>
    <n v="12"/>
  </r>
  <r>
    <n v="291"/>
    <s v="Kalimpong"/>
    <x v="3"/>
    <s v="School 291"/>
    <n v="19240200301"/>
    <x v="0"/>
    <s v="Class 8"/>
    <s v="Pre-Primary"/>
    <n v="25"/>
    <n v="40"/>
    <n v="65"/>
    <n v="43"/>
    <n v="8"/>
    <n v="7"/>
    <n v="7"/>
    <n v="10"/>
    <n v="7"/>
    <n v="0"/>
    <n v="7"/>
  </r>
  <r>
    <n v="292"/>
    <s v="Kalimpong"/>
    <x v="3"/>
    <s v="School 292"/>
    <n v="19240207602"/>
    <x v="1"/>
    <s v="Class 10"/>
    <s v="Class 1"/>
    <n v="38"/>
    <n v="34"/>
    <n v="72"/>
    <n v="50"/>
    <n v="8"/>
    <n v="6"/>
    <n v="8"/>
    <n v="8"/>
    <n v="10"/>
    <n v="9"/>
    <n v="19"/>
  </r>
  <r>
    <n v="293"/>
    <s v="Kalimpong"/>
    <x v="3"/>
    <s v="School 293"/>
    <n v="19240200901"/>
    <x v="1"/>
    <s v="Class 5"/>
    <s v="Pre-Primary"/>
    <n v="27"/>
    <n v="38"/>
    <n v="65"/>
    <n v="46"/>
    <n v="5"/>
    <n v="5"/>
    <n v="9"/>
    <n v="6"/>
    <n v="6"/>
    <n v="1"/>
    <n v="7"/>
  </r>
  <r>
    <n v="294"/>
    <s v="Kalimpong"/>
    <x v="3"/>
    <s v="School 294"/>
    <n v="19240205201"/>
    <x v="1"/>
    <s v="Class 12"/>
    <s v="Class 1"/>
    <n v="24"/>
    <n v="26"/>
    <n v="50"/>
    <n v="34"/>
    <n v="5"/>
    <n v="5"/>
    <n v="6"/>
    <n v="9"/>
    <n v="0"/>
    <n v="4"/>
    <n v="4"/>
  </r>
  <r>
    <n v="295"/>
    <s v="Kalimpong"/>
    <x v="3"/>
    <s v="School 295"/>
    <n v="19240202805"/>
    <x v="0"/>
    <s v="Class 10"/>
    <s v="Class 6"/>
    <n v="23"/>
    <n v="25"/>
    <n v="48"/>
    <n v="27"/>
    <n v="5"/>
    <n v="7"/>
    <n v="9"/>
    <n v="8"/>
    <n v="0"/>
    <n v="3"/>
    <n v="3"/>
  </r>
  <r>
    <n v="296"/>
    <s v="Kalimpong"/>
    <x v="3"/>
    <s v="School 296"/>
    <n v="19240205203"/>
    <x v="1"/>
    <s v="Class 5"/>
    <s v="Class 1"/>
    <n v="30"/>
    <n v="34"/>
    <n v="64"/>
    <n v="38"/>
    <n v="9"/>
    <n v="9"/>
    <n v="8"/>
    <n v="5"/>
    <n v="10"/>
    <n v="1"/>
    <n v="11"/>
  </r>
  <r>
    <n v="297"/>
    <s v="Kalimpong"/>
    <x v="3"/>
    <s v="School 297"/>
    <n v="19240204402"/>
    <x v="2"/>
    <s v="Class 12"/>
    <s v="Class 1"/>
    <n v="40"/>
    <n v="38"/>
    <n v="78"/>
    <n v="57"/>
    <n v="5"/>
    <n v="7"/>
    <n v="9"/>
    <n v="9"/>
    <n v="4"/>
    <n v="7"/>
    <n v="11"/>
  </r>
  <r>
    <n v="298"/>
    <s v="Kalimpong"/>
    <x v="3"/>
    <s v="School 298"/>
    <n v="19240200707"/>
    <x v="0"/>
    <s v="Class 12"/>
    <s v="Class 9"/>
    <n v="21"/>
    <n v="40"/>
    <n v="61"/>
    <n v="35"/>
    <n v="10"/>
    <n v="6"/>
    <n v="10"/>
    <n v="10"/>
    <n v="0"/>
    <n v="1"/>
    <n v="1"/>
  </r>
  <r>
    <n v="299"/>
    <s v="Kalimpong"/>
    <x v="3"/>
    <s v="School 299"/>
    <n v="19240206701"/>
    <x v="2"/>
    <s v="Class 8"/>
    <s v="Class 6"/>
    <n v="38"/>
    <n v="33"/>
    <n v="71"/>
    <n v="41"/>
    <n v="10"/>
    <n v="10"/>
    <n v="10"/>
    <n v="5"/>
    <n v="9"/>
    <n v="9"/>
    <n v="18"/>
  </r>
  <r>
    <n v="300"/>
    <s v="Kalimpong"/>
    <x v="3"/>
    <s v="School 300"/>
    <n v="19240205102"/>
    <x v="1"/>
    <s v="Class 4"/>
    <s v="Class 1"/>
    <n v="23"/>
    <n v="20"/>
    <n v="43"/>
    <n v="22"/>
    <n v="8"/>
    <n v="8"/>
    <n v="5"/>
    <n v="6"/>
    <n v="9"/>
    <n v="2"/>
    <n v="11"/>
  </r>
  <r>
    <n v="301"/>
    <s v="Kalimpong"/>
    <x v="3"/>
    <s v="School 301"/>
    <n v="19240202502"/>
    <x v="0"/>
    <s v="Class 8"/>
    <s v="Pre-Primary"/>
    <n v="26"/>
    <n v="31"/>
    <n v="57"/>
    <n v="33"/>
    <n v="9"/>
    <n v="6"/>
    <n v="9"/>
    <n v="10"/>
    <n v="0"/>
    <n v="9"/>
    <n v="9"/>
  </r>
  <r>
    <n v="302"/>
    <s v="Kalimpong"/>
    <x v="3"/>
    <s v="School 302"/>
    <n v="19240202506"/>
    <x v="1"/>
    <s v="Class 10"/>
    <s v="Class 1"/>
    <n v="28"/>
    <n v="36"/>
    <n v="64"/>
    <n v="45"/>
    <n v="5"/>
    <n v="9"/>
    <n v="5"/>
    <n v="7"/>
    <n v="6"/>
    <n v="10"/>
    <n v="16"/>
  </r>
  <r>
    <n v="303"/>
    <s v="Kalimpong"/>
    <x v="3"/>
    <s v="School 303"/>
    <n v="19240207801"/>
    <x v="1"/>
    <s v="Class 5"/>
    <s v="Pre-Primary"/>
    <n v="33"/>
    <n v="32"/>
    <n v="65"/>
    <n v="41"/>
    <n v="10"/>
    <n v="8"/>
    <n v="6"/>
    <n v="9"/>
    <n v="0"/>
    <n v="2"/>
    <n v="2"/>
  </r>
  <r>
    <n v="304"/>
    <s v="Kalimpong"/>
    <x v="3"/>
    <s v="School 304"/>
    <n v="19240200706"/>
    <x v="1"/>
    <s v="Class 12"/>
    <s v="Class 1"/>
    <n v="32"/>
    <n v="36"/>
    <n v="68"/>
    <n v="50"/>
    <n v="5"/>
    <n v="6"/>
    <n v="7"/>
    <n v="6"/>
    <n v="7"/>
    <n v="6"/>
    <n v="13"/>
  </r>
  <r>
    <n v="305"/>
    <s v="Kalimpong"/>
    <x v="3"/>
    <s v="School 305"/>
    <n v="19240206301"/>
    <x v="0"/>
    <s v="Class 10"/>
    <s v="Class 6"/>
    <n v="38"/>
    <n v="24"/>
    <n v="62"/>
    <n v="37"/>
    <n v="9"/>
    <n v="9"/>
    <n v="7"/>
    <n v="8"/>
    <n v="9"/>
    <n v="8"/>
    <n v="17"/>
  </r>
  <r>
    <n v="306"/>
    <s v="Kalimpong"/>
    <x v="3"/>
    <s v="School 306"/>
    <n v="19240203901"/>
    <x v="1"/>
    <s v="Class 5"/>
    <s v="Class 1"/>
    <n v="37"/>
    <n v="40"/>
    <n v="77"/>
    <n v="58"/>
    <n v="7"/>
    <n v="7"/>
    <n v="5"/>
    <n v="5"/>
    <n v="2"/>
    <n v="4"/>
    <n v="6"/>
  </r>
  <r>
    <n v="307"/>
    <s v="Kalimpong"/>
    <x v="2"/>
    <s v="School 307"/>
    <n v="19240303303"/>
    <x v="2"/>
    <s v="Class 12"/>
    <s v="Class 1"/>
    <n v="35"/>
    <n v="36"/>
    <n v="71"/>
    <n v="53"/>
    <n v="6"/>
    <n v="6"/>
    <n v="6"/>
    <n v="7"/>
    <n v="4"/>
    <n v="1"/>
    <n v="5"/>
  </r>
  <r>
    <n v="308"/>
    <s v="Kalimpong"/>
    <x v="2"/>
    <s v="School 308"/>
    <n v="19240304402"/>
    <x v="0"/>
    <s v="Class 12"/>
    <s v="Class 9"/>
    <n v="39"/>
    <n v="31"/>
    <n v="70"/>
    <n v="51"/>
    <n v="6"/>
    <n v="5"/>
    <n v="8"/>
    <n v="9"/>
    <n v="4"/>
    <n v="8"/>
    <n v="12"/>
  </r>
  <r>
    <n v="309"/>
    <s v="Kalimpong"/>
    <x v="2"/>
    <s v="School 309"/>
    <n v="19240306603"/>
    <x v="2"/>
    <s v="Class 8"/>
    <s v="Class 6"/>
    <n v="28"/>
    <n v="38"/>
    <n v="66"/>
    <n v="45"/>
    <n v="9"/>
    <n v="5"/>
    <n v="7"/>
    <n v="7"/>
    <n v="2"/>
    <n v="10"/>
    <n v="12"/>
  </r>
  <r>
    <n v="310"/>
    <s v="Kalimpong"/>
    <x v="3"/>
    <s v="School 310"/>
    <n v="19240207201"/>
    <x v="1"/>
    <s v="Class 4"/>
    <s v="Class 1"/>
    <n v="33"/>
    <n v="35"/>
    <n v="68"/>
    <n v="38"/>
    <n v="10"/>
    <n v="10"/>
    <n v="10"/>
    <n v="8"/>
    <n v="3"/>
    <n v="9"/>
    <n v="12"/>
  </r>
  <r>
    <n v="311"/>
    <s v="Kalimpong"/>
    <x v="2"/>
    <s v="School 311"/>
    <n v="19240307001"/>
    <x v="0"/>
    <s v="Class 8"/>
    <s v="Pre-Primary"/>
    <n v="31"/>
    <n v="32"/>
    <n v="63"/>
    <n v="37"/>
    <n v="7"/>
    <n v="10"/>
    <n v="9"/>
    <n v="7"/>
    <n v="2"/>
    <n v="4"/>
    <n v="6"/>
  </r>
  <r>
    <n v="312"/>
    <s v="Kalimpong"/>
    <x v="2"/>
    <s v="School 312"/>
    <n v="19240302806"/>
    <x v="1"/>
    <s v="Class 10"/>
    <s v="Class 1"/>
    <n v="33"/>
    <n v="29"/>
    <n v="62"/>
    <n v="42"/>
    <n v="7"/>
    <n v="5"/>
    <n v="8"/>
    <n v="8"/>
    <n v="7"/>
    <n v="6"/>
    <n v="13"/>
  </r>
  <r>
    <n v="313"/>
    <s v="Kalimpong"/>
    <x v="2"/>
    <s v="School 313"/>
    <n v="19240304901"/>
    <x v="1"/>
    <s v="Class 5"/>
    <s v="Pre-Primary"/>
    <n v="22"/>
    <n v="35"/>
    <n v="57"/>
    <n v="38"/>
    <n v="6"/>
    <n v="6"/>
    <n v="7"/>
    <n v="8"/>
    <n v="4"/>
    <n v="1"/>
    <n v="5"/>
  </r>
  <r>
    <n v="314"/>
    <s v="Kalimpong"/>
    <x v="2"/>
    <s v="School 314"/>
    <n v="19240301401"/>
    <x v="1"/>
    <s v="Class 12"/>
    <s v="Class 1"/>
    <n v="27"/>
    <n v="38"/>
    <n v="65"/>
    <n v="38"/>
    <n v="9"/>
    <n v="8"/>
    <n v="10"/>
    <n v="7"/>
    <n v="3"/>
    <n v="8"/>
    <n v="11"/>
  </r>
  <r>
    <n v="315"/>
    <s v="Kalimpong"/>
    <x v="2"/>
    <s v="School 315"/>
    <n v="19240302810"/>
    <x v="0"/>
    <s v="Class 10"/>
    <s v="Class 6"/>
    <n v="24"/>
    <n v="25"/>
    <n v="49"/>
    <n v="26"/>
    <n v="6"/>
    <n v="7"/>
    <n v="10"/>
    <n v="5"/>
    <n v="1"/>
    <n v="3"/>
    <n v="4"/>
  </r>
  <r>
    <n v="316"/>
    <s v="Kalimpong"/>
    <x v="2"/>
    <s v="School 316"/>
    <n v="19240302801"/>
    <x v="1"/>
    <s v="Class 5"/>
    <s v="Class 1"/>
    <n v="34"/>
    <n v="20"/>
    <n v="54"/>
    <n v="33"/>
    <n v="9"/>
    <n v="5"/>
    <n v="7"/>
    <n v="9"/>
    <n v="4"/>
    <n v="9"/>
    <n v="13"/>
  </r>
  <r>
    <n v="317"/>
    <s v="Kalimpong"/>
    <x v="2"/>
    <s v="School 317"/>
    <n v="19240307101"/>
    <x v="2"/>
    <s v="Class 12"/>
    <s v="Class 1"/>
    <n v="35"/>
    <n v="32"/>
    <n v="67"/>
    <n v="40"/>
    <n v="8"/>
    <n v="9"/>
    <n v="10"/>
    <n v="6"/>
    <n v="7"/>
    <n v="7"/>
    <n v="14"/>
  </r>
  <r>
    <n v="318"/>
    <s v="Kalimpong"/>
    <x v="2"/>
    <s v="School 318"/>
    <n v="19240305504"/>
    <x v="0"/>
    <s v="Class 12"/>
    <s v="Class 9"/>
    <n v="21"/>
    <n v="40"/>
    <n v="61"/>
    <n v="39"/>
    <n v="6"/>
    <n v="6"/>
    <n v="10"/>
    <n v="7"/>
    <n v="6"/>
    <n v="9"/>
    <n v="15"/>
  </r>
  <r>
    <n v="319"/>
    <s v="Kalimpong"/>
    <x v="2"/>
    <s v="School 319"/>
    <n v="19240305402"/>
    <x v="2"/>
    <s v="Class 8"/>
    <s v="Class 6"/>
    <n v="37"/>
    <n v="32"/>
    <n v="69"/>
    <n v="45"/>
    <n v="7"/>
    <n v="10"/>
    <n v="7"/>
    <n v="9"/>
    <n v="3"/>
    <n v="10"/>
    <n v="13"/>
  </r>
  <r>
    <n v="320"/>
    <s v="Kalimpong"/>
    <x v="2"/>
    <s v="School 320"/>
    <n v="19240303204"/>
    <x v="1"/>
    <s v="Class 4"/>
    <s v="Class 1"/>
    <n v="22"/>
    <n v="22"/>
    <n v="44"/>
    <n v="25"/>
    <n v="5"/>
    <n v="7"/>
    <n v="7"/>
    <n v="7"/>
    <n v="8"/>
    <n v="8"/>
    <n v="16"/>
  </r>
  <r>
    <n v="321"/>
    <s v="Kalimpong"/>
    <x v="2"/>
    <s v="School 321"/>
    <n v="19240300301"/>
    <x v="0"/>
    <s v="Class 8"/>
    <s v="Pre-Primary"/>
    <n v="24"/>
    <n v="39"/>
    <n v="63"/>
    <n v="39"/>
    <n v="10"/>
    <n v="8"/>
    <n v="6"/>
    <n v="5"/>
    <n v="9"/>
    <n v="6"/>
    <n v="15"/>
  </r>
  <r>
    <n v="322"/>
    <s v="Kalimpong"/>
    <x v="2"/>
    <s v="School 322"/>
    <n v="19240301402"/>
    <x v="1"/>
    <s v="Class 10"/>
    <s v="Class 1"/>
    <n v="32"/>
    <n v="24"/>
    <n v="56"/>
    <n v="34"/>
    <n v="7"/>
    <n v="8"/>
    <n v="7"/>
    <n v="9"/>
    <n v="6"/>
    <n v="1"/>
    <n v="7"/>
  </r>
  <r>
    <n v="323"/>
    <s v="Kalimpong"/>
    <x v="2"/>
    <s v="School 323"/>
    <n v="19240302301"/>
    <x v="1"/>
    <s v="Class 5"/>
    <s v="Pre-Primary"/>
    <n v="33"/>
    <n v="30"/>
    <n v="63"/>
    <n v="41"/>
    <n v="5"/>
    <n v="9"/>
    <n v="8"/>
    <n v="9"/>
    <n v="8"/>
    <n v="7"/>
    <n v="15"/>
  </r>
  <r>
    <n v="324"/>
    <s v="Kalimpong"/>
    <x v="2"/>
    <s v="School 324"/>
    <n v="19240302302"/>
    <x v="1"/>
    <s v="Class 12"/>
    <s v="Class 1"/>
    <n v="29"/>
    <n v="23"/>
    <n v="52"/>
    <n v="32"/>
    <n v="5"/>
    <n v="6"/>
    <n v="9"/>
    <n v="7"/>
    <n v="1"/>
    <n v="6"/>
    <n v="7"/>
  </r>
  <r>
    <n v="325"/>
    <s v="Kalimpong"/>
    <x v="2"/>
    <s v="School 325"/>
    <n v="19240301203"/>
    <x v="0"/>
    <s v="Class 10"/>
    <s v="Class 6"/>
    <n v="34"/>
    <n v="25"/>
    <n v="59"/>
    <n v="36"/>
    <n v="7"/>
    <n v="10"/>
    <n v="6"/>
    <n v="7"/>
    <n v="10"/>
    <n v="5"/>
    <n v="15"/>
  </r>
  <r>
    <n v="326"/>
    <s v="Kalimpong"/>
    <x v="2"/>
    <s v="School 326"/>
    <n v="19240305101"/>
    <x v="1"/>
    <s v="Class 5"/>
    <s v="Class 1"/>
    <n v="27"/>
    <n v="34"/>
    <n v="61"/>
    <n v="35"/>
    <n v="10"/>
    <n v="9"/>
    <n v="7"/>
    <n v="6"/>
    <n v="5"/>
    <n v="10"/>
    <n v="15"/>
  </r>
  <r>
    <n v="327"/>
    <s v="Kalimpong"/>
    <x v="2"/>
    <s v="School 327"/>
    <n v="19240302204"/>
    <x v="2"/>
    <s v="Class 12"/>
    <s v="Class 1"/>
    <n v="20"/>
    <n v="29"/>
    <n v="49"/>
    <n v="27"/>
    <n v="8"/>
    <n v="8"/>
    <n v="6"/>
    <n v="5"/>
    <n v="10"/>
    <n v="8"/>
    <n v="18"/>
  </r>
  <r>
    <n v="328"/>
    <s v="Kalimpong"/>
    <x v="2"/>
    <s v="School 328"/>
    <n v="19240301201"/>
    <x v="0"/>
    <s v="Class 12"/>
    <s v="Class 9"/>
    <n v="31"/>
    <n v="38"/>
    <n v="69"/>
    <n v="46"/>
    <n v="9"/>
    <n v="9"/>
    <n v="5"/>
    <n v="7"/>
    <n v="1"/>
    <n v="1"/>
    <n v="2"/>
  </r>
  <r>
    <n v="329"/>
    <s v="Kalimpong"/>
    <x v="2"/>
    <s v="School 329"/>
    <n v="19240307201"/>
    <x v="2"/>
    <s v="Class 8"/>
    <s v="Class 6"/>
    <n v="30"/>
    <n v="30"/>
    <n v="60"/>
    <n v="39"/>
    <n v="5"/>
    <n v="9"/>
    <n v="7"/>
    <n v="10"/>
    <n v="7"/>
    <n v="4"/>
    <n v="11"/>
  </r>
  <r>
    <n v="330"/>
    <s v="Kalimpong"/>
    <x v="2"/>
    <s v="School 330"/>
    <n v="19240304805"/>
    <x v="1"/>
    <s v="Class 4"/>
    <s v="Class 1"/>
    <n v="20"/>
    <n v="36"/>
    <n v="56"/>
    <n v="34"/>
    <n v="9"/>
    <n v="8"/>
    <n v="5"/>
    <n v="9"/>
    <n v="8"/>
    <n v="0"/>
    <n v="8"/>
  </r>
  <r>
    <n v="331"/>
    <s v="Kalimpong"/>
    <x v="3"/>
    <s v="School 331"/>
    <n v="19240206703"/>
    <x v="0"/>
    <s v="Class 8"/>
    <s v="Pre-Primary"/>
    <n v="38"/>
    <n v="29"/>
    <n v="67"/>
    <n v="37"/>
    <n v="10"/>
    <n v="10"/>
    <n v="10"/>
    <n v="10"/>
    <n v="6"/>
    <n v="4"/>
    <n v="10"/>
  </r>
  <r>
    <n v="332"/>
    <s v="Kalimpong"/>
    <x v="2"/>
    <s v="School 332"/>
    <n v="19240302102"/>
    <x v="1"/>
    <s v="Class 10"/>
    <s v="Class 1"/>
    <n v="35"/>
    <n v="24"/>
    <n v="59"/>
    <n v="30"/>
    <n v="10"/>
    <n v="9"/>
    <n v="10"/>
    <n v="8"/>
    <n v="8"/>
    <n v="2"/>
    <n v="10"/>
  </r>
  <r>
    <n v="333"/>
    <s v="Kalimpong"/>
    <x v="2"/>
    <s v="School 333"/>
    <n v="19240303502"/>
    <x v="1"/>
    <s v="Class 5"/>
    <s v="Pre-Primary"/>
    <n v="37"/>
    <n v="37"/>
    <n v="74"/>
    <n v="53"/>
    <n v="5"/>
    <n v="9"/>
    <n v="7"/>
    <n v="10"/>
    <n v="9"/>
    <n v="6"/>
    <n v="15"/>
  </r>
  <r>
    <n v="334"/>
    <s v="Kalimpong"/>
    <x v="2"/>
    <s v="School 334"/>
    <n v="19240306103"/>
    <x v="1"/>
    <s v="Class 12"/>
    <s v="Class 1"/>
    <n v="23"/>
    <n v="37"/>
    <n v="60"/>
    <n v="42"/>
    <n v="5"/>
    <n v="7"/>
    <n v="6"/>
    <n v="7"/>
    <n v="3"/>
    <n v="7"/>
    <n v="10"/>
  </r>
  <r>
    <n v="335"/>
    <s v="Kalimpong"/>
    <x v="2"/>
    <s v="School 335"/>
    <n v="19240300602"/>
    <x v="0"/>
    <s v="Class 10"/>
    <s v="Class 6"/>
    <n v="35"/>
    <n v="31"/>
    <n v="66"/>
    <n v="41"/>
    <n v="7"/>
    <n v="10"/>
    <n v="8"/>
    <n v="7"/>
    <n v="8"/>
    <n v="5"/>
    <n v="13"/>
  </r>
  <r>
    <n v="336"/>
    <s v="Kalimpong"/>
    <x v="2"/>
    <s v="School 336"/>
    <n v="19240301103"/>
    <x v="1"/>
    <s v="Class 5"/>
    <s v="Class 1"/>
    <n v="26"/>
    <n v="37"/>
    <n v="63"/>
    <n v="43"/>
    <n v="9"/>
    <n v="6"/>
    <n v="5"/>
    <n v="7"/>
    <n v="4"/>
    <n v="5"/>
    <n v="9"/>
  </r>
  <r>
    <n v="337"/>
    <s v="Kalimpong"/>
    <x v="2"/>
    <s v="School 337"/>
    <n v="19240303002"/>
    <x v="2"/>
    <s v="Class 12"/>
    <s v="Class 1"/>
    <n v="33"/>
    <n v="23"/>
    <n v="56"/>
    <n v="40"/>
    <n v="5"/>
    <n v="5"/>
    <n v="6"/>
    <n v="5"/>
    <n v="0"/>
    <n v="6"/>
    <n v="6"/>
  </r>
  <r>
    <n v="338"/>
    <s v="Kalimpong"/>
    <x v="2"/>
    <s v="School 338"/>
    <n v="19240302809"/>
    <x v="0"/>
    <s v="Class 12"/>
    <s v="Class 9"/>
    <n v="30"/>
    <n v="29"/>
    <n v="59"/>
    <n v="36"/>
    <n v="7"/>
    <n v="10"/>
    <n v="6"/>
    <n v="5"/>
    <n v="10"/>
    <n v="7"/>
    <n v="17"/>
  </r>
  <r>
    <n v="339"/>
    <s v="Kalimpong"/>
    <x v="2"/>
    <s v="School 339"/>
    <n v="19240304302"/>
    <x v="2"/>
    <s v="Class 8"/>
    <s v="Class 6"/>
    <n v="31"/>
    <n v="21"/>
    <n v="52"/>
    <n v="33"/>
    <n v="5"/>
    <n v="5"/>
    <n v="9"/>
    <n v="9"/>
    <n v="1"/>
    <n v="10"/>
    <n v="11"/>
  </r>
  <r>
    <n v="340"/>
    <s v="Kalimpong"/>
    <x v="2"/>
    <s v="School 340"/>
    <n v="19240305704"/>
    <x v="1"/>
    <s v="Class 4"/>
    <s v="Class 1"/>
    <n v="24"/>
    <n v="40"/>
    <n v="64"/>
    <n v="39"/>
    <n v="7"/>
    <n v="9"/>
    <n v="9"/>
    <n v="9"/>
    <n v="1"/>
    <n v="7"/>
    <n v="8"/>
  </r>
  <r>
    <n v="341"/>
    <s v="Kalimpong"/>
    <x v="2"/>
    <s v="School 341"/>
    <n v="19240307301"/>
    <x v="0"/>
    <s v="Class 8"/>
    <s v="Pre-Primary"/>
    <n v="40"/>
    <n v="34"/>
    <n v="74"/>
    <n v="52"/>
    <n v="7"/>
    <n v="10"/>
    <n v="5"/>
    <n v="5"/>
    <n v="7"/>
    <n v="1"/>
    <n v="8"/>
  </r>
  <r>
    <n v="342"/>
    <s v="Kalimpong"/>
    <x v="2"/>
    <s v="School 342"/>
    <n v="19240304202"/>
    <x v="1"/>
    <s v="Class 10"/>
    <s v="Class 1"/>
    <n v="29"/>
    <n v="40"/>
    <n v="69"/>
    <n v="44"/>
    <n v="8"/>
    <n v="7"/>
    <n v="10"/>
    <n v="6"/>
    <n v="4"/>
    <n v="9"/>
    <n v="13"/>
  </r>
  <r>
    <n v="343"/>
    <s v="Kalimpong"/>
    <x v="3"/>
    <s v="School 343"/>
    <n v="19240206402"/>
    <x v="1"/>
    <s v="Class 5"/>
    <s v="Pre-Primary"/>
    <n v="26"/>
    <n v="27"/>
    <n v="53"/>
    <n v="28"/>
    <n v="9"/>
    <n v="6"/>
    <n v="10"/>
    <n v="6"/>
    <n v="9"/>
    <n v="1"/>
    <n v="10"/>
  </r>
  <r>
    <n v="344"/>
    <s v="Kalimpong"/>
    <x v="2"/>
    <s v="School 344"/>
    <n v="19240300105"/>
    <x v="1"/>
    <s v="Class 12"/>
    <s v="Class 1"/>
    <n v="21"/>
    <n v="29"/>
    <n v="50"/>
    <n v="26"/>
    <n v="8"/>
    <n v="6"/>
    <n v="10"/>
    <n v="9"/>
    <n v="3"/>
    <n v="6"/>
    <n v="9"/>
  </r>
  <r>
    <n v="345"/>
    <s v="Kalimpong"/>
    <x v="2"/>
    <s v="School 345"/>
    <n v="19240201102"/>
    <x v="0"/>
    <s v="Class 10"/>
    <s v="Class 6"/>
    <n v="28"/>
    <n v="25"/>
    <n v="53"/>
    <n v="28"/>
    <n v="10"/>
    <n v="7"/>
    <n v="8"/>
    <n v="10"/>
    <n v="5"/>
    <n v="0"/>
    <n v="5"/>
  </r>
  <r>
    <n v="346"/>
    <s v="Kalimpong"/>
    <x v="2"/>
    <s v="School 346"/>
    <n v="19240302203"/>
    <x v="1"/>
    <s v="Class 5"/>
    <s v="Class 1"/>
    <n v="21"/>
    <n v="26"/>
    <n v="47"/>
    <n v="18"/>
    <n v="10"/>
    <n v="9"/>
    <n v="10"/>
    <n v="10"/>
    <n v="10"/>
    <n v="9"/>
    <n v="19"/>
  </r>
  <r>
    <n v="347"/>
    <s v="Kalimpong"/>
    <x v="2"/>
    <s v="School 347"/>
    <n v="19240304806"/>
    <x v="2"/>
    <s v="Class 12"/>
    <s v="Class 1"/>
    <n v="36"/>
    <n v="20"/>
    <n v="56"/>
    <n v="33"/>
    <n v="10"/>
    <n v="8"/>
    <n v="5"/>
    <n v="5"/>
    <n v="2"/>
    <n v="9"/>
    <n v="11"/>
  </r>
  <r>
    <n v="348"/>
    <s v="Kalimpong"/>
    <x v="2"/>
    <s v="School 348"/>
    <n v="19240304804"/>
    <x v="0"/>
    <s v="Class 12"/>
    <s v="Class 9"/>
    <n v="27"/>
    <n v="39"/>
    <n v="66"/>
    <n v="44"/>
    <n v="5"/>
    <n v="8"/>
    <n v="9"/>
    <n v="7"/>
    <n v="7"/>
    <n v="3"/>
    <n v="10"/>
  </r>
  <r>
    <n v="349"/>
    <s v="Kalimpong"/>
    <x v="2"/>
    <s v="School 349"/>
    <n v="19240302805"/>
    <x v="2"/>
    <s v="Class 8"/>
    <s v="Class 6"/>
    <n v="38"/>
    <n v="27"/>
    <n v="65"/>
    <n v="44"/>
    <n v="10"/>
    <n v="5"/>
    <n v="6"/>
    <n v="5"/>
    <n v="8"/>
    <n v="0"/>
    <n v="8"/>
  </r>
  <r>
    <n v="350"/>
    <s v="Kalimpong"/>
    <x v="3"/>
    <s v="School 350"/>
    <n v="19240204902"/>
    <x v="1"/>
    <s v="Class 4"/>
    <s v="Class 1"/>
    <n v="25"/>
    <n v="28"/>
    <n v="53"/>
    <n v="33"/>
    <n v="5"/>
    <n v="10"/>
    <n v="5"/>
    <n v="5"/>
    <n v="2"/>
    <n v="3"/>
    <n v="5"/>
  </r>
  <r>
    <n v="351"/>
    <s v="Kalimpong"/>
    <x v="2"/>
    <s v="School 351"/>
    <n v="19240302903"/>
    <x v="0"/>
    <s v="Class 8"/>
    <s v="Pre-Primary"/>
    <n v="32"/>
    <n v="34"/>
    <n v="66"/>
    <n v="43"/>
    <n v="9"/>
    <n v="7"/>
    <n v="7"/>
    <n v="7"/>
    <n v="7"/>
    <n v="8"/>
    <n v="15"/>
  </r>
  <r>
    <n v="352"/>
    <s v="Kalimpong"/>
    <x v="2"/>
    <s v="School 352"/>
    <n v="19240301004"/>
    <x v="1"/>
    <s v="Class 10"/>
    <s v="Class 1"/>
    <n v="34"/>
    <n v="29"/>
    <n v="63"/>
    <n v="46"/>
    <n v="6"/>
    <n v="5"/>
    <n v="6"/>
    <n v="8"/>
    <n v="1"/>
    <n v="7"/>
    <n v="8"/>
  </r>
  <r>
    <n v="353"/>
    <s v="Kalimpong"/>
    <x v="2"/>
    <s v="School 353"/>
    <n v="19240202601"/>
    <x v="1"/>
    <s v="Class 5"/>
    <s v="Pre-Primary"/>
    <n v="30"/>
    <n v="32"/>
    <n v="62"/>
    <n v="39"/>
    <n v="7"/>
    <n v="6"/>
    <n v="10"/>
    <n v="9"/>
    <n v="7"/>
    <n v="0"/>
    <n v="7"/>
  </r>
  <r>
    <n v="354"/>
    <s v="Kalimpong"/>
    <x v="2"/>
    <s v="School 354"/>
    <n v="19240303602"/>
    <x v="1"/>
    <s v="Class 12"/>
    <s v="Class 1"/>
    <n v="25"/>
    <n v="29"/>
    <n v="54"/>
    <n v="31"/>
    <n v="5"/>
    <n v="9"/>
    <n v="9"/>
    <n v="8"/>
    <n v="10"/>
    <n v="8"/>
    <n v="18"/>
  </r>
  <r>
    <n v="355"/>
    <s v="Kalimpong"/>
    <x v="2"/>
    <s v="School 355"/>
    <n v="19240301304"/>
    <x v="0"/>
    <s v="Class 10"/>
    <s v="Class 6"/>
    <n v="22"/>
    <n v="35"/>
    <n v="57"/>
    <n v="39"/>
    <n v="5"/>
    <n v="8"/>
    <n v="5"/>
    <n v="8"/>
    <n v="7"/>
    <n v="6"/>
    <n v="13"/>
  </r>
  <r>
    <n v="356"/>
    <s v="Kalimpong"/>
    <x v="2"/>
    <s v="School 356"/>
    <n v="19240303603"/>
    <x v="1"/>
    <s v="Class 5"/>
    <s v="Class 1"/>
    <n v="27"/>
    <n v="37"/>
    <n v="64"/>
    <n v="42"/>
    <n v="6"/>
    <n v="9"/>
    <n v="7"/>
    <n v="8"/>
    <n v="10"/>
    <n v="2"/>
    <n v="12"/>
  </r>
  <r>
    <n v="357"/>
    <s v="Kalimpong"/>
    <x v="2"/>
    <s v="School 357"/>
    <n v="19240307203"/>
    <x v="2"/>
    <s v="Class 12"/>
    <s v="Class 1"/>
    <n v="40"/>
    <n v="29"/>
    <n v="69"/>
    <n v="50"/>
    <n v="6"/>
    <n v="7"/>
    <n v="6"/>
    <n v="10"/>
    <n v="1"/>
    <n v="3"/>
    <n v="4"/>
  </r>
  <r>
    <n v="358"/>
    <s v="Kalimpong"/>
    <x v="2"/>
    <s v="School 358"/>
    <n v="19240301603"/>
    <x v="0"/>
    <s v="Class 12"/>
    <s v="Class 9"/>
    <n v="20"/>
    <n v="36"/>
    <n v="56"/>
    <n v="34"/>
    <n v="10"/>
    <n v="6"/>
    <n v="6"/>
    <n v="5"/>
    <n v="4"/>
    <n v="0"/>
    <n v="4"/>
  </r>
  <r>
    <n v="359"/>
    <s v="Kalimpong"/>
    <x v="2"/>
    <s v="School 359"/>
    <n v="19240304003"/>
    <x v="2"/>
    <s v="Class 8"/>
    <s v="Class 6"/>
    <n v="35"/>
    <n v="24"/>
    <n v="59"/>
    <n v="32"/>
    <n v="7"/>
    <n v="10"/>
    <n v="10"/>
    <n v="10"/>
    <n v="4"/>
    <n v="6"/>
    <n v="10"/>
  </r>
  <r>
    <n v="360"/>
    <s v="Kalimpong"/>
    <x v="3"/>
    <s v="School 360"/>
    <n v="19240203302"/>
    <x v="1"/>
    <s v="Class 4"/>
    <s v="Class 1"/>
    <n v="34"/>
    <n v="23"/>
    <n v="57"/>
    <n v="34"/>
    <n v="6"/>
    <n v="7"/>
    <n v="10"/>
    <n v="6"/>
    <n v="10"/>
    <n v="6"/>
    <n v="16"/>
  </r>
  <r>
    <n v="361"/>
    <s v="Kalimpong"/>
    <x v="2"/>
    <s v="School 361"/>
    <n v="19240306901"/>
    <x v="0"/>
    <s v="Class 8"/>
    <s v="Pre-Primary"/>
    <n v="40"/>
    <n v="32"/>
    <n v="72"/>
    <n v="47"/>
    <n v="8"/>
    <n v="9"/>
    <n v="8"/>
    <n v="10"/>
    <n v="5"/>
    <n v="6"/>
    <n v="11"/>
  </r>
  <r>
    <n v="362"/>
    <s v="Kalimpong"/>
    <x v="3"/>
    <s v="School 362"/>
    <n v="19240202802"/>
    <x v="1"/>
    <s v="Class 10"/>
    <s v="Class 1"/>
    <n v="33"/>
    <n v="35"/>
    <n v="68"/>
    <n v="43"/>
    <n v="9"/>
    <n v="8"/>
    <n v="8"/>
    <n v="5"/>
    <n v="9"/>
    <n v="4"/>
    <n v="13"/>
  </r>
  <r>
    <n v="363"/>
    <s v="Kalimpong"/>
    <x v="2"/>
    <s v="School 363"/>
    <n v="19240301105"/>
    <x v="1"/>
    <s v="Class 5"/>
    <s v="Pre-Primary"/>
    <n v="39"/>
    <n v="40"/>
    <n v="79"/>
    <n v="53"/>
    <n v="9"/>
    <n v="7"/>
    <n v="10"/>
    <n v="10"/>
    <n v="1"/>
    <n v="0"/>
    <n v="1"/>
  </r>
  <r>
    <n v="364"/>
    <s v="Kalimpong"/>
    <x v="2"/>
    <s v="School 364"/>
    <n v="19240301106"/>
    <x v="1"/>
    <s v="Class 12"/>
    <s v="Class 1"/>
    <n v="27"/>
    <n v="23"/>
    <n v="50"/>
    <n v="28"/>
    <n v="5"/>
    <n v="10"/>
    <n v="7"/>
    <n v="8"/>
    <n v="1"/>
    <n v="3"/>
    <n v="4"/>
  </r>
  <r>
    <n v="365"/>
    <s v="Kalimpong"/>
    <x v="2"/>
    <s v="School 365"/>
    <n v="19240301505"/>
    <x v="0"/>
    <s v="Class 10"/>
    <s v="Class 6"/>
    <n v="25"/>
    <n v="32"/>
    <n v="57"/>
    <n v="36"/>
    <n v="7"/>
    <n v="9"/>
    <n v="5"/>
    <n v="6"/>
    <n v="0"/>
    <n v="1"/>
    <n v="1"/>
  </r>
  <r>
    <n v="366"/>
    <s v="Kalimpong"/>
    <x v="2"/>
    <s v="School 366"/>
    <n v="19240303203"/>
    <x v="1"/>
    <s v="Class 5"/>
    <s v="Class 1"/>
    <n v="34"/>
    <n v="32"/>
    <n v="66"/>
    <n v="49"/>
    <n v="5"/>
    <n v="7"/>
    <n v="5"/>
    <n v="10"/>
    <n v="6"/>
    <n v="10"/>
    <n v="16"/>
  </r>
  <r>
    <n v="367"/>
    <s v="Kalimpong"/>
    <x v="2"/>
    <s v="School 367"/>
    <n v="19240300702"/>
    <x v="2"/>
    <s v="Class 12"/>
    <s v="Class 1"/>
    <n v="30"/>
    <n v="33"/>
    <n v="63"/>
    <n v="39"/>
    <n v="8"/>
    <n v="6"/>
    <n v="10"/>
    <n v="10"/>
    <n v="4"/>
    <n v="8"/>
    <n v="12"/>
  </r>
  <r>
    <n v="368"/>
    <s v="Kalimpong"/>
    <x v="3"/>
    <s v="School 368"/>
    <n v="19240201802"/>
    <x v="0"/>
    <s v="Class 12"/>
    <s v="Class 9"/>
    <n v="32"/>
    <n v="35"/>
    <n v="67"/>
    <n v="45"/>
    <n v="8"/>
    <n v="9"/>
    <n v="5"/>
    <n v="8"/>
    <n v="1"/>
    <n v="6"/>
    <n v="7"/>
  </r>
  <r>
    <n v="369"/>
    <s v="Kalimpong"/>
    <x v="2"/>
    <s v="School 369"/>
    <n v="19240305502"/>
    <x v="2"/>
    <s v="Class 8"/>
    <s v="Class 6"/>
    <n v="25"/>
    <n v="27"/>
    <n v="52"/>
    <n v="29"/>
    <n v="9"/>
    <n v="6"/>
    <n v="8"/>
    <n v="6"/>
    <n v="7"/>
    <n v="2"/>
    <n v="9"/>
  </r>
  <r>
    <n v="370"/>
    <s v="Kalimpong"/>
    <x v="2"/>
    <s v="School 370"/>
    <n v="19240302101"/>
    <x v="1"/>
    <s v="Class 4"/>
    <s v="Class 1"/>
    <n v="22"/>
    <n v="29"/>
    <n v="51"/>
    <n v="30"/>
    <n v="6"/>
    <n v="8"/>
    <n v="7"/>
    <n v="8"/>
    <n v="8"/>
    <n v="5"/>
    <n v="13"/>
  </r>
  <r>
    <n v="371"/>
    <s v="Kalimpong"/>
    <x v="2"/>
    <s v="School 371"/>
    <n v="19240303202"/>
    <x v="0"/>
    <s v="Class 8"/>
    <s v="Pre-Primary"/>
    <n v="27"/>
    <n v="32"/>
    <n v="59"/>
    <n v="40"/>
    <n v="8"/>
    <n v="6"/>
    <n v="5"/>
    <n v="7"/>
    <n v="9"/>
    <n v="4"/>
    <n v="13"/>
  </r>
  <r>
    <n v="372"/>
    <s v="Kalimpong"/>
    <x v="2"/>
    <s v="School 372"/>
    <n v="19240307401"/>
    <x v="1"/>
    <s v="Class 10"/>
    <s v="Class 1"/>
    <n v="40"/>
    <n v="36"/>
    <n v="76"/>
    <n v="51"/>
    <n v="7"/>
    <n v="8"/>
    <n v="10"/>
    <n v="5"/>
    <n v="3"/>
    <n v="10"/>
    <n v="13"/>
  </r>
  <r>
    <n v="373"/>
    <s v="Kalimpong"/>
    <x v="2"/>
    <s v="School 373"/>
    <n v="19240305702"/>
    <x v="1"/>
    <s v="Class 5"/>
    <s v="Pre-Primary"/>
    <n v="27"/>
    <n v="26"/>
    <n v="53"/>
    <n v="28"/>
    <n v="9"/>
    <n v="9"/>
    <n v="7"/>
    <n v="10"/>
    <n v="2"/>
    <n v="2"/>
    <n v="4"/>
  </r>
  <r>
    <n v="374"/>
    <s v="Kalimpong"/>
    <x v="2"/>
    <s v="School 374"/>
    <n v="19240301602"/>
    <x v="1"/>
    <s v="Class 12"/>
    <s v="Class 1"/>
    <n v="24"/>
    <n v="23"/>
    <n v="47"/>
    <n v="27"/>
    <n v="5"/>
    <n v="9"/>
    <n v="6"/>
    <n v="9"/>
    <n v="6"/>
    <n v="7"/>
    <n v="13"/>
  </r>
  <r>
    <n v="375"/>
    <s v="Kalimpong"/>
    <x v="2"/>
    <s v="School 375"/>
    <n v="19240303103"/>
    <x v="0"/>
    <s v="Class 10"/>
    <s v="Class 6"/>
    <n v="35"/>
    <n v="35"/>
    <n v="70"/>
    <n v="51"/>
    <n v="5"/>
    <n v="7"/>
    <n v="7"/>
    <n v="9"/>
    <n v="6"/>
    <n v="0"/>
    <n v="6"/>
  </r>
  <r>
    <n v="376"/>
    <s v="Kalimpong"/>
    <x v="2"/>
    <s v="School 376"/>
    <n v="19240306302"/>
    <x v="1"/>
    <s v="Class 5"/>
    <s v="Class 1"/>
    <n v="22"/>
    <n v="23"/>
    <n v="45"/>
    <n v="22"/>
    <n v="10"/>
    <n v="7"/>
    <n v="6"/>
    <n v="8"/>
    <n v="10"/>
    <n v="10"/>
    <n v="20"/>
  </r>
  <r>
    <n v="377"/>
    <s v="Kalimpong"/>
    <x v="2"/>
    <s v="School 377"/>
    <n v="19240306303"/>
    <x v="2"/>
    <s v="Class 12"/>
    <s v="Class 1"/>
    <n v="26"/>
    <n v="33"/>
    <n v="59"/>
    <n v="39"/>
    <n v="7"/>
    <n v="7"/>
    <n v="6"/>
    <n v="9"/>
    <n v="7"/>
    <n v="4"/>
    <n v="11"/>
  </r>
  <r>
    <n v="378"/>
    <s v="Kalimpong"/>
    <x v="2"/>
    <s v="School 378"/>
    <n v="19240307501"/>
    <x v="0"/>
    <s v="Class 12"/>
    <s v="Class 9"/>
    <n v="28"/>
    <n v="40"/>
    <n v="68"/>
    <n v="46"/>
    <n v="9"/>
    <n v="6"/>
    <n v="7"/>
    <n v="6"/>
    <n v="10"/>
    <n v="6"/>
    <n v="16"/>
  </r>
  <r>
    <n v="379"/>
    <s v="Kalimpong"/>
    <x v="2"/>
    <s v="School 379"/>
    <n v="19240302402"/>
    <x v="2"/>
    <s v="Class 8"/>
    <s v="Class 6"/>
    <n v="25"/>
    <n v="23"/>
    <n v="48"/>
    <n v="24"/>
    <n v="10"/>
    <n v="9"/>
    <n v="5"/>
    <n v="7"/>
    <n v="7"/>
    <n v="4"/>
    <n v="11"/>
  </r>
  <r>
    <n v="380"/>
    <s v="Kalimpong"/>
    <x v="2"/>
    <s v="School 380"/>
    <n v="19240302205"/>
    <x v="1"/>
    <s v="Class 4"/>
    <s v="Class 1"/>
    <n v="29"/>
    <n v="32"/>
    <n v="61"/>
    <n v="34"/>
    <n v="9"/>
    <n v="8"/>
    <n v="10"/>
    <n v="7"/>
    <n v="1"/>
    <n v="3"/>
    <n v="4"/>
  </r>
  <r>
    <n v="381"/>
    <s v="Kalimpong"/>
    <x v="2"/>
    <s v="School 381"/>
    <n v="19240305902"/>
    <x v="0"/>
    <s v="Class 8"/>
    <s v="Pre-Primary"/>
    <n v="25"/>
    <n v="33"/>
    <n v="58"/>
    <n v="40"/>
    <n v="5"/>
    <n v="7"/>
    <n v="6"/>
    <n v="10"/>
    <n v="6"/>
    <n v="5"/>
    <n v="11"/>
  </r>
  <r>
    <n v="382"/>
    <s v="Kalimpong"/>
    <x v="2"/>
    <s v="School 382"/>
    <n v="19240306501"/>
    <x v="1"/>
    <s v="Class 10"/>
    <s v="Class 1"/>
    <n v="39"/>
    <n v="22"/>
    <n v="61"/>
    <n v="34"/>
    <n v="9"/>
    <n v="9"/>
    <n v="9"/>
    <n v="5"/>
    <n v="6"/>
    <n v="9"/>
    <n v="15"/>
  </r>
  <r>
    <n v="383"/>
    <s v="Kalimpong"/>
    <x v="2"/>
    <s v="School 383"/>
    <n v="19240306403"/>
    <x v="1"/>
    <s v="Class 5"/>
    <s v="Pre-Primary"/>
    <n v="24"/>
    <n v="29"/>
    <n v="53"/>
    <n v="31"/>
    <n v="8"/>
    <n v="6"/>
    <n v="8"/>
    <n v="7"/>
    <n v="9"/>
    <n v="0"/>
    <n v="9"/>
  </r>
  <r>
    <n v="384"/>
    <s v="Kalimpong"/>
    <x v="2"/>
    <s v="School 384"/>
    <n v="19240301104"/>
    <x v="1"/>
    <s v="Class 12"/>
    <s v="Class 1"/>
    <n v="21"/>
    <n v="25"/>
    <n v="46"/>
    <n v="24"/>
    <n v="9"/>
    <n v="8"/>
    <n v="5"/>
    <n v="10"/>
    <n v="8"/>
    <n v="1"/>
    <n v="9"/>
  </r>
  <r>
    <n v="385"/>
    <s v="Kalimpong"/>
    <x v="2"/>
    <s v="School 385"/>
    <n v="19240301005"/>
    <x v="0"/>
    <s v="Class 10"/>
    <s v="Class 6"/>
    <n v="30"/>
    <n v="37"/>
    <n v="67"/>
    <n v="42"/>
    <n v="9"/>
    <n v="8"/>
    <n v="8"/>
    <n v="10"/>
    <n v="7"/>
    <n v="4"/>
    <n v="11"/>
  </r>
  <r>
    <n v="386"/>
    <s v="Kalimpong"/>
    <x v="3"/>
    <s v="School 386"/>
    <n v="19240200602"/>
    <x v="1"/>
    <s v="Class 5"/>
    <s v="Class 1"/>
    <n v="22"/>
    <n v="40"/>
    <n v="62"/>
    <n v="37"/>
    <n v="7"/>
    <n v="8"/>
    <n v="10"/>
    <n v="5"/>
    <n v="5"/>
    <n v="1"/>
    <n v="6"/>
  </r>
  <r>
    <n v="387"/>
    <s v="Kalimpong"/>
    <x v="2"/>
    <s v="School 387"/>
    <n v="19240305802"/>
    <x v="2"/>
    <s v="Class 12"/>
    <s v="Class 1"/>
    <n v="22"/>
    <n v="32"/>
    <n v="54"/>
    <n v="29"/>
    <n v="9"/>
    <n v="9"/>
    <n v="7"/>
    <n v="7"/>
    <n v="9"/>
    <n v="6"/>
    <n v="15"/>
  </r>
  <r>
    <n v="388"/>
    <s v="Kalimpong"/>
    <x v="2"/>
    <s v="School 388"/>
    <n v="19240305803"/>
    <x v="0"/>
    <s v="Class 12"/>
    <s v="Class 9"/>
    <n v="20"/>
    <n v="34"/>
    <n v="54"/>
    <n v="31"/>
    <n v="9"/>
    <n v="9"/>
    <n v="5"/>
    <n v="8"/>
    <n v="9"/>
    <n v="4"/>
    <n v="13"/>
  </r>
  <r>
    <n v="389"/>
    <s v="Kalimpong"/>
    <x v="2"/>
    <s v="School 389"/>
    <n v="19240305002"/>
    <x v="2"/>
    <s v="Class 8"/>
    <s v="Class 6"/>
    <n v="37"/>
    <n v="29"/>
    <n v="66"/>
    <n v="49"/>
    <n v="6"/>
    <n v="5"/>
    <n v="6"/>
    <n v="5"/>
    <n v="6"/>
    <n v="4"/>
    <n v="10"/>
  </r>
  <r>
    <n v="390"/>
    <s v="Kalimpong"/>
    <x v="2"/>
    <s v="School 390"/>
    <n v="19240202702"/>
    <x v="1"/>
    <s v="Class 4"/>
    <s v="Class 1"/>
    <n v="27"/>
    <n v="25"/>
    <n v="52"/>
    <n v="26"/>
    <n v="9"/>
    <n v="7"/>
    <n v="10"/>
    <n v="7"/>
    <n v="3"/>
    <n v="5"/>
    <n v="8"/>
  </r>
  <r>
    <n v="391"/>
    <s v="Kalimpong"/>
    <x v="2"/>
    <s v="School 391"/>
    <n v="19240306002"/>
    <x v="0"/>
    <s v="Class 8"/>
    <s v="Pre-Primary"/>
    <n v="32"/>
    <n v="27"/>
    <n v="59"/>
    <n v="35"/>
    <n v="10"/>
    <n v="5"/>
    <n v="9"/>
    <n v="6"/>
    <n v="8"/>
    <n v="4"/>
    <n v="12"/>
  </r>
  <r>
    <n v="392"/>
    <s v="Kalimpong"/>
    <x v="2"/>
    <s v="School 392"/>
    <n v="19240303402"/>
    <x v="1"/>
    <s v="Class 10"/>
    <s v="Class 1"/>
    <n v="32"/>
    <n v="27"/>
    <n v="59"/>
    <n v="39"/>
    <n v="5"/>
    <n v="8"/>
    <n v="7"/>
    <n v="9"/>
    <n v="10"/>
    <n v="2"/>
    <n v="12"/>
  </r>
  <r>
    <n v="393"/>
    <s v="Kalimpong"/>
    <x v="2"/>
    <s v="School 393"/>
    <n v="19240307601"/>
    <x v="1"/>
    <s v="Class 5"/>
    <s v="Pre-Primary"/>
    <n v="39"/>
    <n v="39"/>
    <n v="78"/>
    <n v="50"/>
    <n v="8"/>
    <n v="10"/>
    <n v="10"/>
    <n v="9"/>
    <n v="1"/>
    <n v="6"/>
    <n v="7"/>
  </r>
  <r>
    <n v="394"/>
    <s v="Kalimpong"/>
    <x v="2"/>
    <s v="School 394"/>
    <n v="19240304102"/>
    <x v="1"/>
    <s v="Class 12"/>
    <s v="Class 1"/>
    <n v="36"/>
    <n v="20"/>
    <n v="56"/>
    <n v="35"/>
    <n v="9"/>
    <n v="5"/>
    <n v="7"/>
    <n v="7"/>
    <n v="7"/>
    <n v="7"/>
    <n v="14"/>
  </r>
  <r>
    <n v="395"/>
    <s v="Kalimpong"/>
    <x v="2"/>
    <s v="School 395"/>
    <n v="19240302807"/>
    <x v="0"/>
    <s v="Class 10"/>
    <s v="Class 6"/>
    <n v="38"/>
    <n v="23"/>
    <n v="61"/>
    <n v="38"/>
    <n v="7"/>
    <n v="8"/>
    <n v="8"/>
    <n v="8"/>
    <n v="9"/>
    <n v="6"/>
    <n v="15"/>
  </r>
  <r>
    <n v="396"/>
    <s v="Kalimpong"/>
    <x v="3"/>
    <s v="School 396"/>
    <n v="19240200201"/>
    <x v="1"/>
    <s v="Class 5"/>
    <s v="Class 1"/>
    <n v="26"/>
    <n v="32"/>
    <n v="58"/>
    <n v="33"/>
    <n v="10"/>
    <n v="10"/>
    <n v="5"/>
    <n v="6"/>
    <n v="10"/>
    <n v="7"/>
    <n v="17"/>
  </r>
  <r>
    <n v="397"/>
    <s v="Kalimpong"/>
    <x v="2"/>
    <s v="School 397"/>
    <n v="19240307701"/>
    <x v="2"/>
    <s v="Class 12"/>
    <s v="Class 1"/>
    <n v="28"/>
    <n v="22"/>
    <n v="50"/>
    <n v="27"/>
    <n v="6"/>
    <n v="9"/>
    <n v="8"/>
    <n v="6"/>
    <n v="8"/>
    <n v="2"/>
    <n v="10"/>
  </r>
  <r>
    <n v="398"/>
    <s v="Kalimpong"/>
    <x v="2"/>
    <s v="School 398"/>
    <n v="19240304807"/>
    <x v="0"/>
    <s v="Class 12"/>
    <s v="Class 9"/>
    <n v="39"/>
    <n v="31"/>
    <n v="70"/>
    <n v="52"/>
    <n v="6"/>
    <n v="7"/>
    <n v="5"/>
    <n v="5"/>
    <n v="0"/>
    <n v="8"/>
    <n v="8"/>
  </r>
  <r>
    <n v="399"/>
    <s v="Kalimpong"/>
    <x v="2"/>
    <s v="School 399"/>
    <n v="19240304303"/>
    <x v="2"/>
    <s v="Class 8"/>
    <s v="Class 6"/>
    <n v="36"/>
    <n v="30"/>
    <n v="66"/>
    <n v="40"/>
    <n v="8"/>
    <n v="8"/>
    <n v="10"/>
    <n v="7"/>
    <n v="1"/>
    <n v="4"/>
    <n v="5"/>
  </r>
  <r>
    <n v="400"/>
    <s v="Kalimpong"/>
    <x v="2"/>
    <s v="School 400"/>
    <n v="19240307801"/>
    <x v="1"/>
    <s v="Class 4"/>
    <s v="Class 1"/>
    <n v="27"/>
    <n v="26"/>
    <n v="53"/>
    <n v="32"/>
    <n v="9"/>
    <n v="7"/>
    <n v="5"/>
    <n v="7"/>
    <n v="6"/>
    <n v="0"/>
    <n v="6"/>
  </r>
  <r>
    <n v="401"/>
    <s v="Kalimpong"/>
    <x v="2"/>
    <s v="School 401"/>
    <n v="19240304703"/>
    <x v="0"/>
    <s v="Class 8"/>
    <s v="Pre-Primary"/>
    <n v="34"/>
    <n v="33"/>
    <n v="67"/>
    <n v="44"/>
    <n v="8"/>
    <n v="8"/>
    <n v="7"/>
    <n v="6"/>
    <n v="1"/>
    <n v="3"/>
    <n v="4"/>
  </r>
  <r>
    <n v="402"/>
    <s v="Kalimpong"/>
    <x v="2"/>
    <s v="School 402"/>
    <n v="19240301804"/>
    <x v="1"/>
    <s v="Class 10"/>
    <s v="Class 1"/>
    <n v="21"/>
    <n v="28"/>
    <n v="49"/>
    <n v="24"/>
    <n v="5"/>
    <n v="10"/>
    <n v="10"/>
    <n v="6"/>
    <n v="1"/>
    <n v="7"/>
    <n v="8"/>
  </r>
  <r>
    <n v="403"/>
    <s v="Kalimpong"/>
    <x v="2"/>
    <s v="School 403"/>
    <n v="19240301702"/>
    <x v="1"/>
    <s v="Class 5"/>
    <s v="Pre-Primary"/>
    <n v="22"/>
    <n v="21"/>
    <n v="43"/>
    <n v="21"/>
    <n v="9"/>
    <n v="6"/>
    <n v="7"/>
    <n v="9"/>
    <n v="1"/>
    <n v="5"/>
    <n v="6"/>
  </r>
  <r>
    <n v="404"/>
    <s v="Kalimpong"/>
    <x v="2"/>
    <s v="School 404"/>
    <n v="19240305102"/>
    <x v="1"/>
    <s v="Class 12"/>
    <s v="Class 1"/>
    <n v="20"/>
    <n v="20"/>
    <n v="40"/>
    <n v="17"/>
    <n v="9"/>
    <n v="5"/>
    <n v="9"/>
    <n v="7"/>
    <n v="10"/>
    <n v="0"/>
    <n v="10"/>
  </r>
  <r>
    <n v="405"/>
    <s v="Kalimpong"/>
    <x v="2"/>
    <s v="School 405"/>
    <n v="19240306604"/>
    <x v="0"/>
    <s v="Class 10"/>
    <s v="Class 6"/>
    <n v="23"/>
    <n v="38"/>
    <n v="61"/>
    <n v="43"/>
    <n v="6"/>
    <n v="6"/>
    <n v="6"/>
    <n v="7"/>
    <n v="6"/>
    <n v="9"/>
    <n v="15"/>
  </r>
  <r>
    <n v="406"/>
    <s v="Kalimpong"/>
    <x v="2"/>
    <s v="School 406"/>
    <n v="19240307202"/>
    <x v="1"/>
    <s v="Class 5"/>
    <s v="Class 1"/>
    <n v="39"/>
    <n v="40"/>
    <n v="79"/>
    <n v="57"/>
    <n v="8"/>
    <n v="6"/>
    <n v="8"/>
    <n v="6"/>
    <n v="6"/>
    <n v="7"/>
    <n v="13"/>
  </r>
  <r>
    <n v="407"/>
    <s v="Kalimpong"/>
    <x v="2"/>
    <s v="School 407"/>
    <n v="19240301202"/>
    <x v="2"/>
    <s v="Class 12"/>
    <s v="Class 1"/>
    <n v="20"/>
    <n v="40"/>
    <n v="60"/>
    <n v="35"/>
    <n v="7"/>
    <n v="9"/>
    <n v="9"/>
    <n v="5"/>
    <n v="6"/>
    <n v="8"/>
    <n v="14"/>
  </r>
  <r>
    <n v="408"/>
    <s v="Kalimpong"/>
    <x v="2"/>
    <s v="School 408"/>
    <n v="19240300502"/>
    <x v="0"/>
    <s v="Class 12"/>
    <s v="Class 9"/>
    <n v="39"/>
    <n v="23"/>
    <n v="62"/>
    <n v="39"/>
    <n v="6"/>
    <n v="7"/>
    <n v="10"/>
    <n v="8"/>
    <n v="8"/>
    <n v="8"/>
    <n v="16"/>
  </r>
  <r>
    <n v="409"/>
    <s v="Kalimpong"/>
    <x v="2"/>
    <s v="School 409"/>
    <n v="19240305202"/>
    <x v="2"/>
    <s v="Class 8"/>
    <s v="Class 6"/>
    <n v="22"/>
    <n v="33"/>
    <n v="55"/>
    <n v="28"/>
    <n v="9"/>
    <n v="9"/>
    <n v="9"/>
    <n v="9"/>
    <n v="1"/>
    <n v="8"/>
    <n v="9"/>
  </r>
  <r>
    <n v="410"/>
    <s v="Kalimpong"/>
    <x v="2"/>
    <s v="School 410"/>
    <n v="19240305503"/>
    <x v="1"/>
    <s v="Class 4"/>
    <s v="Class 1"/>
    <n v="25"/>
    <n v="27"/>
    <n v="52"/>
    <n v="29"/>
    <n v="5"/>
    <n v="9"/>
    <n v="9"/>
    <n v="10"/>
    <n v="10"/>
    <n v="1"/>
    <n v="11"/>
  </r>
  <r>
    <n v="411"/>
    <s v="Kalimpong"/>
    <x v="2"/>
    <s v="School 411"/>
    <n v="19240302502"/>
    <x v="0"/>
    <s v="Class 8"/>
    <s v="Pre-Primary"/>
    <n v="21"/>
    <n v="20"/>
    <n v="41"/>
    <n v="16"/>
    <n v="10"/>
    <n v="10"/>
    <n v="5"/>
    <n v="6"/>
    <n v="3"/>
    <n v="0"/>
    <n v="3"/>
  </r>
  <r>
    <n v="412"/>
    <s v="Kalimpong"/>
    <x v="2"/>
    <s v="School 412"/>
    <n v="19240306003"/>
    <x v="1"/>
    <s v="Class 10"/>
    <s v="Class 1"/>
    <n v="20"/>
    <n v="26"/>
    <n v="46"/>
    <n v="18"/>
    <n v="8"/>
    <n v="10"/>
    <n v="10"/>
    <n v="5"/>
    <n v="1"/>
    <n v="3"/>
    <n v="4"/>
  </r>
  <r>
    <n v="413"/>
    <s v="Kalimpong"/>
    <x v="2"/>
    <s v="School 413"/>
    <n v="19240306801"/>
    <x v="1"/>
    <s v="Class 5"/>
    <s v="Pre-Primary"/>
    <n v="24"/>
    <n v="22"/>
    <n v="46"/>
    <n v="19"/>
    <n v="8"/>
    <n v="10"/>
    <n v="9"/>
    <n v="8"/>
    <n v="2"/>
    <n v="8"/>
    <n v="10"/>
  </r>
  <r>
    <n v="414"/>
    <s v="Kalimpong"/>
    <x v="2"/>
    <s v="School 414"/>
    <n v="19240307802"/>
    <x v="1"/>
    <s v="Class 12"/>
    <s v="Class 1"/>
    <n v="20"/>
    <n v="23"/>
    <n v="43"/>
    <n v="19"/>
    <n v="9"/>
    <n v="8"/>
    <n v="7"/>
    <n v="9"/>
    <n v="4"/>
    <n v="4"/>
    <n v="8"/>
  </r>
  <r>
    <n v="415"/>
    <s v="Kalimpong"/>
    <x v="2"/>
    <s v="School 415"/>
    <n v="19240303104"/>
    <x v="0"/>
    <s v="Class 10"/>
    <s v="Class 6"/>
    <n v="22"/>
    <n v="23"/>
    <n v="45"/>
    <n v="29"/>
    <n v="5"/>
    <n v="6"/>
    <n v="5"/>
    <n v="10"/>
    <n v="4"/>
    <n v="7"/>
    <n v="11"/>
  </r>
  <r>
    <n v="416"/>
    <s v="Kalimpong"/>
    <x v="2"/>
    <s v="School 416"/>
    <n v="19240303401"/>
    <x v="1"/>
    <s v="Class 5"/>
    <s v="Class 1"/>
    <n v="20"/>
    <n v="35"/>
    <n v="55"/>
    <n v="26"/>
    <n v="9"/>
    <n v="10"/>
    <n v="10"/>
    <n v="6"/>
    <n v="8"/>
    <n v="7"/>
    <n v="15"/>
  </r>
  <r>
    <n v="417"/>
    <s v="Kalimpong"/>
    <x v="2"/>
    <s v="School 417"/>
    <n v="19240307901"/>
    <x v="2"/>
    <s v="Class 12"/>
    <s v="Class 1"/>
    <n v="26"/>
    <n v="29"/>
    <n v="55"/>
    <n v="34"/>
    <n v="7"/>
    <n v="7"/>
    <n v="7"/>
    <n v="7"/>
    <n v="8"/>
    <n v="2"/>
    <n v="10"/>
  </r>
  <r>
    <n v="418"/>
    <s v="Kalimpong"/>
    <x v="2"/>
    <s v="School 418"/>
    <n v="19240302403"/>
    <x v="0"/>
    <s v="Class 12"/>
    <s v="Class 9"/>
    <n v="28"/>
    <n v="23"/>
    <n v="51"/>
    <n v="32"/>
    <n v="7"/>
    <n v="5"/>
    <n v="7"/>
    <n v="7"/>
    <n v="4"/>
    <n v="3"/>
    <n v="7"/>
  </r>
  <r>
    <n v="419"/>
    <s v="Kalimpong"/>
    <x v="2"/>
    <s v="School 419"/>
    <n v="19240302401"/>
    <x v="2"/>
    <s v="Class 8"/>
    <s v="Class 6"/>
    <n v="23"/>
    <n v="21"/>
    <n v="44"/>
    <n v="22"/>
    <n v="6"/>
    <n v="8"/>
    <n v="8"/>
    <n v="5"/>
    <n v="9"/>
    <n v="5"/>
    <n v="14"/>
  </r>
  <r>
    <n v="420"/>
    <s v="Kalimpong"/>
    <x v="2"/>
    <s v="School 420"/>
    <n v="19240305302"/>
    <x v="1"/>
    <s v="Class 4"/>
    <s v="Class 1"/>
    <n v="38"/>
    <n v="35"/>
    <n v="73"/>
    <n v="54"/>
    <n v="7"/>
    <n v="7"/>
    <n v="5"/>
    <n v="8"/>
    <n v="2"/>
    <n v="8"/>
    <n v="10"/>
  </r>
  <r>
    <n v="421"/>
    <s v="Kalimpong"/>
    <x v="2"/>
    <s v="School 421"/>
    <n v="19240305003"/>
    <x v="0"/>
    <s v="Class 8"/>
    <s v="Pre-Primary"/>
    <n v="39"/>
    <n v="26"/>
    <n v="65"/>
    <n v="42"/>
    <n v="9"/>
    <n v="5"/>
    <n v="9"/>
    <n v="7"/>
    <n v="1"/>
    <n v="9"/>
    <n v="10"/>
  </r>
  <r>
    <n v="422"/>
    <s v="Kalimpong"/>
    <x v="2"/>
    <s v="School 422"/>
    <n v="19240308001"/>
    <x v="1"/>
    <s v="Class 10"/>
    <s v="Class 1"/>
    <n v="31"/>
    <n v="40"/>
    <n v="71"/>
    <n v="47"/>
    <n v="5"/>
    <n v="9"/>
    <n v="10"/>
    <n v="10"/>
    <n v="7"/>
    <n v="2"/>
    <n v="9"/>
  </r>
  <r>
    <n v="423"/>
    <s v="Kalimpong"/>
    <x v="2"/>
    <s v="School 423"/>
    <n v="19240301006"/>
    <x v="1"/>
    <s v="Class 5"/>
    <s v="Pre-Primary"/>
    <n v="32"/>
    <n v="37"/>
    <n v="69"/>
    <n v="43"/>
    <n v="10"/>
    <n v="8"/>
    <n v="8"/>
    <n v="8"/>
    <n v="3"/>
    <n v="6"/>
    <n v="9"/>
  </r>
  <r>
    <n v="424"/>
    <s v="Kalimpong"/>
    <x v="2"/>
    <s v="School 424"/>
    <n v="19240307902"/>
    <x v="1"/>
    <s v="Class 12"/>
    <s v="Class 1"/>
    <n v="35"/>
    <n v="26"/>
    <n v="61"/>
    <n v="38"/>
    <n v="7"/>
    <n v="9"/>
    <n v="7"/>
    <n v="8"/>
    <n v="1"/>
    <n v="1"/>
    <n v="2"/>
  </r>
  <r>
    <n v="425"/>
    <s v="Kalimpong"/>
    <x v="2"/>
    <s v="School 425"/>
    <n v="19240300106"/>
    <x v="0"/>
    <s v="Class 10"/>
    <s v="Class 6"/>
    <n v="30"/>
    <n v="36"/>
    <n v="66"/>
    <n v="40"/>
    <n v="9"/>
    <n v="9"/>
    <n v="8"/>
    <n v="8"/>
    <n v="2"/>
    <n v="8"/>
    <n v="10"/>
  </r>
  <r>
    <n v="426"/>
    <s v="Kalimpong"/>
    <x v="2"/>
    <s v="School 426"/>
    <n v="19240308101"/>
    <x v="1"/>
    <s v="Class 5"/>
    <s v="Class 1"/>
    <n v="37"/>
    <n v="28"/>
    <n v="65"/>
    <n v="44"/>
    <n v="6"/>
    <n v="7"/>
    <n v="8"/>
    <n v="6"/>
    <n v="2"/>
    <n v="4"/>
    <n v="6"/>
  </r>
  <r>
    <n v="427"/>
    <s v="Kalimpong"/>
    <x v="0"/>
    <s v="School 427"/>
    <n v="19240107302"/>
    <x v="2"/>
    <s v="Class 12"/>
    <s v="Class 1"/>
    <n v="23"/>
    <n v="36"/>
    <n v="59"/>
    <n v="38"/>
    <n v="6"/>
    <n v="8"/>
    <n v="7"/>
    <n v="9"/>
    <n v="7"/>
    <n v="7"/>
    <n v="14"/>
  </r>
  <r>
    <n v="428"/>
    <s v="Kalimpong"/>
    <x v="2"/>
    <s v="School 428"/>
    <n v="19240301305"/>
    <x v="0"/>
    <s v="Class 12"/>
    <s v="Class 9"/>
    <n v="34"/>
    <n v="37"/>
    <n v="71"/>
    <n v="53"/>
    <n v="7"/>
    <n v="6"/>
    <n v="5"/>
    <n v="10"/>
    <n v="3"/>
    <n v="5"/>
    <n v="8"/>
  </r>
  <r>
    <n v="429"/>
    <s v="Kalimpong"/>
    <x v="2"/>
    <s v="School 429"/>
    <n v="19240304501"/>
    <x v="2"/>
    <s v="Class 8"/>
    <s v="Class 6"/>
    <n v="20"/>
    <n v="27"/>
    <n v="47"/>
    <n v="23"/>
    <n v="9"/>
    <n v="6"/>
    <n v="9"/>
    <n v="10"/>
    <n v="1"/>
    <n v="1"/>
    <n v="2"/>
  </r>
  <r>
    <n v="430"/>
    <s v="Kalimpong"/>
    <x v="2"/>
    <s v="School 430"/>
    <n v="19240304601"/>
    <x v="1"/>
    <s v="Class 4"/>
    <s v="Class 1"/>
    <n v="32"/>
    <n v="23"/>
    <n v="55"/>
    <n v="30"/>
    <n v="10"/>
    <n v="7"/>
    <n v="8"/>
    <n v="8"/>
    <n v="8"/>
    <n v="7"/>
    <n v="15"/>
  </r>
  <r>
    <n v="431"/>
    <s v="Kalimpong"/>
    <x v="2"/>
    <s v="School 431"/>
    <n v="19240303703"/>
    <x v="0"/>
    <s v="Class 8"/>
    <s v="Pre-Primary"/>
    <n v="33"/>
    <n v="35"/>
    <n v="68"/>
    <n v="44"/>
    <n v="8"/>
    <n v="10"/>
    <n v="6"/>
    <n v="10"/>
    <n v="2"/>
    <n v="10"/>
    <n v="12"/>
  </r>
  <r>
    <n v="432"/>
    <s v="Kalimpong"/>
    <x v="2"/>
    <s v="School 432"/>
    <n v="19240308102"/>
    <x v="1"/>
    <s v="Class 10"/>
    <s v="Class 1"/>
    <n v="36"/>
    <n v="21"/>
    <n v="57"/>
    <n v="28"/>
    <n v="10"/>
    <n v="9"/>
    <n v="10"/>
    <n v="9"/>
    <n v="9"/>
    <n v="6"/>
    <n v="15"/>
  </r>
  <r>
    <n v="433"/>
    <s v="Kalimpong"/>
    <x v="2"/>
    <s v="School 433"/>
    <n v="19240303105"/>
    <x v="1"/>
    <s v="Class 5"/>
    <s v="Pre-Primary"/>
    <n v="34"/>
    <n v="28"/>
    <n v="62"/>
    <n v="45"/>
    <n v="5"/>
    <n v="5"/>
    <n v="7"/>
    <n v="6"/>
    <n v="5"/>
    <n v="10"/>
    <n v="15"/>
  </r>
  <r>
    <n v="434"/>
    <s v="Kalimpong"/>
    <x v="2"/>
    <s v="School 434"/>
    <n v="19240305602"/>
    <x v="1"/>
    <s v="Class 12"/>
    <s v="Class 1"/>
    <n v="36"/>
    <n v="30"/>
    <n v="66"/>
    <n v="43"/>
    <n v="6"/>
    <n v="9"/>
    <n v="8"/>
    <n v="9"/>
    <n v="8"/>
    <n v="0"/>
    <n v="8"/>
  </r>
  <r>
    <n v="435"/>
    <s v="Kalimpong"/>
    <x v="2"/>
    <s v="School 435"/>
    <n v="19240302001"/>
    <x v="0"/>
    <s v="Class 10"/>
    <s v="Class 6"/>
    <n v="22"/>
    <n v="23"/>
    <n v="45"/>
    <n v="23"/>
    <n v="8"/>
    <n v="9"/>
    <n v="5"/>
    <n v="5"/>
    <n v="4"/>
    <n v="2"/>
    <n v="6"/>
  </r>
  <r>
    <n v="436"/>
    <s v="Kalimpong"/>
    <x v="2"/>
    <s v="School 436"/>
    <n v="19240306204"/>
    <x v="1"/>
    <s v="Class 5"/>
    <s v="Class 1"/>
    <n v="37"/>
    <n v="31"/>
    <n v="68"/>
    <n v="42"/>
    <n v="8"/>
    <n v="10"/>
    <n v="8"/>
    <n v="5"/>
    <n v="5"/>
    <n v="9"/>
    <n v="14"/>
  </r>
  <r>
    <n v="437"/>
    <s v="Kalimpong"/>
    <x v="2"/>
    <s v="School 437"/>
    <n v="19240306202"/>
    <x v="2"/>
    <s v="Class 12"/>
    <s v="Class 1"/>
    <n v="27"/>
    <n v="36"/>
    <n v="63"/>
    <n v="41"/>
    <n v="7"/>
    <n v="8"/>
    <n v="7"/>
    <n v="6"/>
    <n v="3"/>
    <n v="2"/>
    <n v="5"/>
  </r>
  <r>
    <n v="438"/>
    <s v="Kalimpong"/>
    <x v="2"/>
    <s v="School 438"/>
    <n v="19240302804"/>
    <x v="0"/>
    <s v="Class 12"/>
    <s v="Class 9"/>
    <n v="23"/>
    <n v="37"/>
    <n v="60"/>
    <n v="38"/>
    <n v="5"/>
    <n v="10"/>
    <n v="7"/>
    <n v="7"/>
    <n v="6"/>
    <n v="1"/>
    <n v="7"/>
  </r>
  <r>
    <n v="439"/>
    <s v="Kalimpong"/>
    <x v="2"/>
    <s v="School 439"/>
    <n v="19240300904"/>
    <x v="2"/>
    <s v="Class 8"/>
    <s v="Class 6"/>
    <n v="40"/>
    <n v="33"/>
    <n v="73"/>
    <n v="52"/>
    <n v="7"/>
    <n v="5"/>
    <n v="9"/>
    <n v="7"/>
    <n v="9"/>
    <n v="6"/>
    <n v="15"/>
  </r>
  <r>
    <n v="440"/>
    <s v="Kalimpong"/>
    <x v="2"/>
    <s v="School 440"/>
    <n v="19240300902"/>
    <x v="1"/>
    <s v="Class 4"/>
    <s v="Class 1"/>
    <n v="24"/>
    <n v="34"/>
    <n v="58"/>
    <n v="34"/>
    <n v="10"/>
    <n v="6"/>
    <n v="8"/>
    <n v="9"/>
    <n v="1"/>
    <n v="8"/>
    <n v="9"/>
  </r>
  <r>
    <n v="441"/>
    <s v="Kalimpong"/>
    <x v="2"/>
    <s v="School 441"/>
    <n v="19240300201"/>
    <x v="0"/>
    <s v="Class 8"/>
    <s v="Pre-Primary"/>
    <n v="36"/>
    <n v="28"/>
    <n v="64"/>
    <n v="39"/>
    <n v="9"/>
    <n v="9"/>
    <n v="7"/>
    <n v="5"/>
    <n v="7"/>
    <n v="0"/>
    <n v="7"/>
  </r>
  <r>
    <n v="442"/>
    <s v="Kalimpong"/>
    <x v="2"/>
    <s v="School 442"/>
    <n v="19240300802"/>
    <x v="1"/>
    <s v="Class 10"/>
    <s v="Class 1"/>
    <n v="27"/>
    <n v="28"/>
    <n v="55"/>
    <n v="35"/>
    <n v="8"/>
    <n v="6"/>
    <n v="6"/>
    <n v="6"/>
    <n v="5"/>
    <n v="9"/>
    <n v="14"/>
  </r>
  <r>
    <n v="443"/>
    <s v="Kalimpong"/>
    <x v="1"/>
    <s v="School 443"/>
    <n v="19240400102"/>
    <x v="1"/>
    <s v="Class 5"/>
    <s v="Pre-Primary"/>
    <n v="25"/>
    <n v="35"/>
    <n v="60"/>
    <n v="33"/>
    <n v="8"/>
    <n v="10"/>
    <n v="9"/>
    <n v="10"/>
    <n v="3"/>
    <n v="6"/>
    <n v="9"/>
  </r>
  <r>
    <n v="444"/>
    <s v="Kalimpong"/>
    <x v="1"/>
    <s v="School 444"/>
    <n v="19240400101"/>
    <x v="1"/>
    <s v="Class 12"/>
    <s v="Class 1"/>
    <n v="28"/>
    <n v="22"/>
    <n v="50"/>
    <n v="26"/>
    <n v="9"/>
    <n v="9"/>
    <n v="6"/>
    <n v="9"/>
    <n v="8"/>
    <n v="10"/>
    <n v="18"/>
  </r>
  <r>
    <n v="445"/>
    <s v="Kalimpong"/>
    <x v="1"/>
    <s v="School 445"/>
    <n v="19240401402"/>
    <x v="0"/>
    <s v="Class 10"/>
    <s v="Class 6"/>
    <n v="27"/>
    <n v="28"/>
    <n v="55"/>
    <n v="33"/>
    <n v="5"/>
    <n v="10"/>
    <n v="7"/>
    <n v="10"/>
    <n v="2"/>
    <n v="7"/>
    <n v="9"/>
  </r>
  <r>
    <n v="446"/>
    <s v="Kalimpong"/>
    <x v="1"/>
    <s v="School 446"/>
    <n v="19240400602"/>
    <x v="1"/>
    <s v="Class 5"/>
    <s v="Class 1"/>
    <n v="31"/>
    <n v="28"/>
    <n v="59"/>
    <n v="41"/>
    <n v="6"/>
    <n v="7"/>
    <n v="5"/>
    <n v="9"/>
    <n v="6"/>
    <n v="6"/>
    <n v="12"/>
  </r>
  <r>
    <n v="447"/>
    <s v="Kalimpong"/>
    <x v="1"/>
    <s v="School 447"/>
    <n v="19240400302"/>
    <x v="2"/>
    <s v="Class 12"/>
    <s v="Class 1"/>
    <n v="23"/>
    <n v="37"/>
    <n v="60"/>
    <n v="41"/>
    <n v="5"/>
    <n v="6"/>
    <n v="8"/>
    <n v="9"/>
    <n v="0"/>
    <n v="2"/>
    <n v="2"/>
  </r>
  <r>
    <n v="448"/>
    <s v="Kalimpong"/>
    <x v="1"/>
    <s v="School 448"/>
    <n v="19240400301"/>
    <x v="0"/>
    <s v="Class 12"/>
    <s v="Class 9"/>
    <n v="30"/>
    <n v="35"/>
    <n v="65"/>
    <n v="42"/>
    <n v="5"/>
    <n v="8"/>
    <n v="10"/>
    <n v="6"/>
    <n v="5"/>
    <n v="2"/>
    <n v="7"/>
  </r>
  <r>
    <n v="449"/>
    <s v="Kalimpong"/>
    <x v="1"/>
    <s v="School 449"/>
    <n v="19240400701"/>
    <x v="2"/>
    <s v="Class 8"/>
    <s v="Class 6"/>
    <n v="29"/>
    <n v="24"/>
    <n v="53"/>
    <n v="33"/>
    <n v="8"/>
    <n v="6"/>
    <n v="6"/>
    <n v="7"/>
    <n v="0"/>
    <n v="10"/>
    <n v="10"/>
  </r>
  <r>
    <n v="450"/>
    <s v="Kalimpong"/>
    <x v="1"/>
    <s v="School 450"/>
    <n v="19240401101"/>
    <x v="1"/>
    <s v="Class 4"/>
    <s v="Class 1"/>
    <n v="32"/>
    <n v="38"/>
    <n v="70"/>
    <n v="41"/>
    <n v="10"/>
    <n v="9"/>
    <n v="10"/>
    <n v="6"/>
    <n v="1"/>
    <n v="1"/>
    <n v="2"/>
  </r>
  <r>
    <n v="451"/>
    <s v="Kalimpong"/>
    <x v="1"/>
    <s v="School 451"/>
    <n v="19240401301"/>
    <x v="0"/>
    <s v="Class 8"/>
    <s v="Pre-Primary"/>
    <n v="33"/>
    <n v="29"/>
    <n v="62"/>
    <n v="40"/>
    <n v="6"/>
    <n v="7"/>
    <n v="9"/>
    <n v="10"/>
    <n v="0"/>
    <n v="3"/>
    <n v="3"/>
  </r>
  <r>
    <n v="452"/>
    <s v="Kalimpong"/>
    <x v="1"/>
    <s v="School 452"/>
    <n v="19240400502"/>
    <x v="1"/>
    <s v="Class 10"/>
    <s v="Class 1"/>
    <n v="22"/>
    <n v="40"/>
    <n v="62"/>
    <n v="40"/>
    <n v="9"/>
    <n v="6"/>
    <n v="7"/>
    <n v="6"/>
    <n v="0"/>
    <n v="3"/>
    <n v="3"/>
  </r>
  <r>
    <n v="453"/>
    <s v="Kalimpong"/>
    <x v="1"/>
    <s v="School 453"/>
    <n v="19240401401"/>
    <x v="1"/>
    <s v="Class 5"/>
    <s v="Pre-Primary"/>
    <n v="32"/>
    <n v="39"/>
    <n v="71"/>
    <n v="52"/>
    <n v="5"/>
    <n v="9"/>
    <n v="5"/>
    <n v="7"/>
    <n v="0"/>
    <n v="1"/>
    <n v="1"/>
  </r>
  <r>
    <n v="454"/>
    <s v="Kalimpong"/>
    <x v="0"/>
    <s v="School 454"/>
    <n v="19240106903"/>
    <x v="1"/>
    <s v="Class 12"/>
    <s v="Class 1"/>
    <n v="36"/>
    <n v="27"/>
    <n v="63"/>
    <n v="38"/>
    <n v="6"/>
    <n v="9"/>
    <n v="10"/>
    <n v="5"/>
    <n v="9"/>
    <n v="6"/>
    <n v="15"/>
  </r>
  <r>
    <n v="455"/>
    <s v="Kalimpong"/>
    <x v="1"/>
    <s v="School 455"/>
    <n v="19240401002"/>
    <x v="0"/>
    <s v="Class 10"/>
    <s v="Class 6"/>
    <n v="32"/>
    <n v="27"/>
    <n v="59"/>
    <n v="32"/>
    <n v="8"/>
    <n v="10"/>
    <n v="9"/>
    <n v="9"/>
    <n v="4"/>
    <n v="0"/>
    <n v="4"/>
  </r>
  <r>
    <n v="456"/>
    <s v="Kalimpong"/>
    <x v="1"/>
    <s v="School 456"/>
    <n v="19240401005"/>
    <x v="1"/>
    <s v="Class 5"/>
    <s v="Class 1"/>
    <n v="35"/>
    <n v="31"/>
    <n v="66"/>
    <n v="41"/>
    <n v="9"/>
    <n v="6"/>
    <n v="10"/>
    <n v="8"/>
    <n v="10"/>
    <n v="0"/>
    <n v="10"/>
  </r>
  <r>
    <n v="457"/>
    <s v="Kalimpong"/>
    <x v="0"/>
    <s v="School 457"/>
    <n v="19240106402"/>
    <x v="2"/>
    <s v="Class 12"/>
    <s v="Class 1"/>
    <n v="32"/>
    <n v="32"/>
    <n v="64"/>
    <n v="36"/>
    <n v="10"/>
    <n v="8"/>
    <n v="10"/>
    <n v="9"/>
    <n v="5"/>
    <n v="9"/>
    <n v="14"/>
  </r>
  <r>
    <n v="458"/>
    <s v="Kalimpong"/>
    <x v="0"/>
    <s v="School 458"/>
    <n v="19240105902"/>
    <x v="0"/>
    <s v="Class 12"/>
    <s v="Class 9"/>
    <n v="36"/>
    <n v="29"/>
    <n v="65"/>
    <n v="42"/>
    <n v="8"/>
    <n v="10"/>
    <n v="5"/>
    <n v="7"/>
    <n v="5"/>
    <n v="5"/>
    <n v="10"/>
  </r>
  <r>
    <n v="459"/>
    <s v="Kalimpong"/>
    <x v="0"/>
    <s v="School 459"/>
    <n v="19240104602"/>
    <x v="2"/>
    <s v="Class 8"/>
    <s v="Class 6"/>
    <n v="37"/>
    <n v="38"/>
    <n v="75"/>
    <n v="53"/>
    <n v="7"/>
    <n v="9"/>
    <n v="6"/>
    <n v="7"/>
    <n v="6"/>
    <n v="0"/>
    <n v="6"/>
  </r>
  <r>
    <n v="460"/>
    <s v="Kalimpong"/>
    <x v="0"/>
    <s v="School 460"/>
    <n v="19240103502"/>
    <x v="1"/>
    <s v="Class 4"/>
    <s v="Class 1"/>
    <n v="23"/>
    <n v="23"/>
    <n v="46"/>
    <n v="22"/>
    <n v="8"/>
    <n v="10"/>
    <n v="6"/>
    <n v="5"/>
    <n v="6"/>
    <n v="8"/>
    <n v="14"/>
  </r>
  <r>
    <n v="461"/>
    <s v="Kalimpong"/>
    <x v="1"/>
    <s v="School 461"/>
    <n v="19240401001"/>
    <x v="0"/>
    <s v="Class 8"/>
    <s v="Pre-Primary"/>
    <n v="35"/>
    <n v="39"/>
    <n v="74"/>
    <n v="52"/>
    <n v="10"/>
    <n v="5"/>
    <n v="7"/>
    <n v="6"/>
    <n v="7"/>
    <n v="5"/>
    <n v="12"/>
  </r>
  <r>
    <n v="462"/>
    <s v="Kalimpong"/>
    <x v="1"/>
    <s v="School 462"/>
    <n v="19240400901"/>
    <x v="1"/>
    <s v="Class 10"/>
    <s v="Class 1"/>
    <n v="40"/>
    <n v="25"/>
    <n v="65"/>
    <n v="41"/>
    <n v="10"/>
    <n v="5"/>
    <n v="9"/>
    <n v="5"/>
    <n v="10"/>
    <n v="5"/>
    <n v="15"/>
  </r>
  <r>
    <n v="463"/>
    <s v="Kalimpong"/>
    <x v="1"/>
    <s v="School 463"/>
    <n v="19240400902"/>
    <x v="1"/>
    <s v="Class 5"/>
    <s v="Pre-Primary"/>
    <n v="22"/>
    <n v="28"/>
    <n v="50"/>
    <n v="23"/>
    <n v="10"/>
    <n v="10"/>
    <n v="7"/>
    <n v="5"/>
    <n v="8"/>
    <n v="1"/>
    <n v="9"/>
  </r>
  <r>
    <n v="464"/>
    <s v="Kalimpong"/>
    <x v="1"/>
    <s v="School 464"/>
    <n v="19240401501"/>
    <x v="1"/>
    <s v="Class 12"/>
    <s v="Class 1"/>
    <n v="30"/>
    <n v="37"/>
    <n v="67"/>
    <n v="45"/>
    <n v="8"/>
    <n v="9"/>
    <n v="5"/>
    <n v="5"/>
    <n v="0"/>
    <n v="8"/>
    <n v="8"/>
  </r>
  <r>
    <n v="465"/>
    <s v="Kalimpong"/>
    <x v="1"/>
    <s v="School 465"/>
    <n v="19240400601"/>
    <x v="0"/>
    <s v="Class 10"/>
    <s v="Class 6"/>
    <n v="24"/>
    <n v="24"/>
    <n v="48"/>
    <n v="28"/>
    <n v="7"/>
    <n v="6"/>
    <n v="7"/>
    <n v="6"/>
    <n v="2"/>
    <n v="6"/>
    <n v="8"/>
  </r>
  <r>
    <n v="466"/>
    <s v="Kalimpong"/>
    <x v="1"/>
    <s v="School 466"/>
    <n v="19240401502"/>
    <x v="1"/>
    <s v="Class 5"/>
    <s v="Class 1"/>
    <n v="40"/>
    <n v="32"/>
    <n v="72"/>
    <n v="47"/>
    <n v="9"/>
    <n v="10"/>
    <n v="6"/>
    <n v="10"/>
    <n v="3"/>
    <n v="4"/>
    <n v="7"/>
  </r>
  <r>
    <n v="467"/>
    <s v="Kalimpong"/>
    <x v="0"/>
    <s v="School 467"/>
    <n v="19240101602"/>
    <x v="2"/>
    <s v="Class 12"/>
    <s v="Class 1"/>
    <n v="24"/>
    <n v="36"/>
    <n v="60"/>
    <n v="37"/>
    <n v="7"/>
    <n v="9"/>
    <n v="7"/>
    <n v="5"/>
    <n v="7"/>
    <n v="10"/>
    <n v="17"/>
  </r>
  <r>
    <n v="468"/>
    <s v="Kalimpong"/>
    <x v="0"/>
    <s v="School 468"/>
    <n v="19240101401"/>
    <x v="0"/>
    <s v="Class 12"/>
    <s v="Class 9"/>
    <n v="28"/>
    <n v="20"/>
    <n v="48"/>
    <n v="29"/>
    <n v="5"/>
    <n v="6"/>
    <n v="8"/>
    <n v="10"/>
    <n v="0"/>
    <n v="2"/>
    <n v="2"/>
  </r>
  <r>
    <n v="469"/>
    <s v="Kalimpong"/>
    <x v="0"/>
    <s v="School 469"/>
    <n v="19240101101"/>
    <x v="2"/>
    <s v="Class 8"/>
    <s v="Class 6"/>
    <n v="28"/>
    <n v="28"/>
    <n v="56"/>
    <n v="31"/>
    <n v="8"/>
    <n v="10"/>
    <n v="7"/>
    <n v="10"/>
    <n v="5"/>
    <n v="8"/>
    <n v="13"/>
  </r>
  <r>
    <n v="470"/>
    <s v="Kalimpong"/>
    <x v="1"/>
    <s v="School 470"/>
    <n v="19240401503"/>
    <x v="1"/>
    <s v="Class 4"/>
    <s v="Class 1"/>
    <n v="33"/>
    <n v="39"/>
    <n v="72"/>
    <n v="49"/>
    <n v="8"/>
    <n v="9"/>
    <n v="6"/>
    <n v="7"/>
    <n v="5"/>
    <n v="4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CF1DB-66B2-914B-90B4-0071E9347BF2}" name="PivotTable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9"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nage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FB44-0052-9841-ADB3-5B28E766B639}">
  <dimension ref="A1:S12"/>
  <sheetViews>
    <sheetView zoomScale="150" zoomScaleNormal="75" workbookViewId="0">
      <selection activeCell="D12" sqref="D12"/>
    </sheetView>
  </sheetViews>
  <sheetFormatPr baseColWidth="10" defaultColWidth="8" defaultRowHeight="16" x14ac:dyDescent="0.2"/>
  <cols>
    <col min="1" max="1" width="8.5" bestFit="1" customWidth="1"/>
    <col min="2" max="2" width="9.83203125" bestFit="1" customWidth="1"/>
    <col min="3" max="3" width="20.5" bestFit="1" customWidth="1"/>
    <col min="4" max="4" width="12" bestFit="1" customWidth="1"/>
    <col min="5" max="5" width="13.6640625" customWidth="1"/>
    <col min="6" max="6" width="22" bestFit="1" customWidth="1"/>
    <col min="7" max="7" width="12" bestFit="1" customWidth="1"/>
    <col min="8" max="8" width="11.6640625" bestFit="1" customWidth="1"/>
    <col min="9" max="10" width="14.1640625" bestFit="1" customWidth="1"/>
    <col min="11" max="11" width="14.5" bestFit="1" customWidth="1"/>
    <col min="12" max="12" width="12" bestFit="1" customWidth="1"/>
    <col min="13" max="13" width="9" customWidth="1"/>
    <col min="14" max="14" width="10.5" customWidth="1"/>
    <col min="15" max="15" width="9.83203125" customWidth="1"/>
    <col min="16" max="16" width="9.33203125" customWidth="1"/>
    <col min="17" max="17" width="13.33203125" bestFit="1" customWidth="1"/>
    <col min="18" max="18" width="15.33203125" bestFit="1" customWidth="1"/>
    <col min="19" max="19" width="13.33203125" bestFit="1" customWidth="1"/>
  </cols>
  <sheetData>
    <row r="1" spans="1:19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14</v>
      </c>
      <c r="M1" s="3" t="s">
        <v>9</v>
      </c>
      <c r="N1" s="3" t="s">
        <v>10</v>
      </c>
      <c r="O1" s="3" t="s">
        <v>15</v>
      </c>
      <c r="P1" s="3" t="s">
        <v>16</v>
      </c>
      <c r="Q1" s="3" t="s">
        <v>11</v>
      </c>
      <c r="R1" s="3" t="s">
        <v>12</v>
      </c>
      <c r="S1" s="3" t="s">
        <v>13</v>
      </c>
    </row>
    <row r="2" spans="1:19" x14ac:dyDescent="0.2">
      <c r="A2">
        <v>1</v>
      </c>
      <c r="B2" t="s">
        <v>17</v>
      </c>
      <c r="C2" t="s">
        <v>509</v>
      </c>
      <c r="D2" t="s">
        <v>25</v>
      </c>
      <c r="E2">
        <v>19240106801</v>
      </c>
      <c r="F2" t="s">
        <v>35</v>
      </c>
      <c r="G2" t="s">
        <v>23</v>
      </c>
      <c r="H2" t="s">
        <v>41</v>
      </c>
      <c r="I2">
        <v>26</v>
      </c>
      <c r="J2">
        <v>34</v>
      </c>
      <c r="K2">
        <v>60</v>
      </c>
      <c r="L2">
        <v>41</v>
      </c>
      <c r="M2">
        <v>7</v>
      </c>
      <c r="N2">
        <v>7</v>
      </c>
      <c r="O2">
        <v>5</v>
      </c>
      <c r="P2">
        <v>6</v>
      </c>
      <c r="Q2">
        <v>7</v>
      </c>
      <c r="R2">
        <v>9</v>
      </c>
      <c r="S2">
        <v>16</v>
      </c>
    </row>
    <row r="3" spans="1:19" x14ac:dyDescent="0.2">
      <c r="A3">
        <v>2</v>
      </c>
      <c r="B3" t="s">
        <v>17</v>
      </c>
      <c r="C3" t="s">
        <v>22</v>
      </c>
      <c r="D3" t="s">
        <v>26</v>
      </c>
      <c r="E3">
        <v>19240106301</v>
      </c>
      <c r="F3" t="s">
        <v>36</v>
      </c>
      <c r="G3" t="s">
        <v>38</v>
      </c>
      <c r="H3" t="s">
        <v>42</v>
      </c>
      <c r="I3">
        <v>23</v>
      </c>
      <c r="J3">
        <v>26</v>
      </c>
      <c r="K3">
        <v>49</v>
      </c>
      <c r="L3">
        <v>24</v>
      </c>
      <c r="M3">
        <v>10</v>
      </c>
      <c r="N3">
        <v>9</v>
      </c>
      <c r="O3">
        <v>6</v>
      </c>
      <c r="P3">
        <v>5</v>
      </c>
      <c r="Q3">
        <v>1</v>
      </c>
      <c r="R3">
        <v>10</v>
      </c>
      <c r="S3">
        <v>11</v>
      </c>
    </row>
    <row r="4" spans="1:19" x14ac:dyDescent="0.2">
      <c r="A4">
        <v>3</v>
      </c>
      <c r="B4" t="s">
        <v>17</v>
      </c>
      <c r="C4" t="s">
        <v>20</v>
      </c>
      <c r="D4" t="s">
        <v>27</v>
      </c>
      <c r="E4">
        <v>19240106304</v>
      </c>
      <c r="F4" t="s">
        <v>36</v>
      </c>
      <c r="G4" t="s">
        <v>39</v>
      </c>
      <c r="H4" t="s">
        <v>41</v>
      </c>
      <c r="I4">
        <v>24</v>
      </c>
      <c r="J4">
        <v>22</v>
      </c>
      <c r="K4">
        <v>46</v>
      </c>
      <c r="L4">
        <v>25</v>
      </c>
      <c r="M4">
        <v>6</v>
      </c>
      <c r="N4">
        <v>5</v>
      </c>
      <c r="O4">
        <v>10</v>
      </c>
      <c r="P4">
        <v>8</v>
      </c>
      <c r="Q4">
        <v>1</v>
      </c>
      <c r="R4">
        <v>10</v>
      </c>
      <c r="S4">
        <v>11</v>
      </c>
    </row>
    <row r="5" spans="1:19" x14ac:dyDescent="0.2">
      <c r="A5">
        <v>4</v>
      </c>
      <c r="B5" t="s">
        <v>17</v>
      </c>
      <c r="C5" t="s">
        <v>22</v>
      </c>
      <c r="D5" t="s">
        <v>28</v>
      </c>
      <c r="E5">
        <v>19240105901</v>
      </c>
      <c r="F5" t="s">
        <v>36</v>
      </c>
      <c r="G5" t="s">
        <v>24</v>
      </c>
      <c r="H5" t="s">
        <v>42</v>
      </c>
      <c r="I5">
        <v>21</v>
      </c>
      <c r="J5">
        <v>31</v>
      </c>
      <c r="K5">
        <v>52</v>
      </c>
      <c r="L5">
        <v>34</v>
      </c>
      <c r="M5">
        <v>6</v>
      </c>
      <c r="N5">
        <v>5</v>
      </c>
      <c r="O5">
        <v>7</v>
      </c>
      <c r="P5">
        <v>6</v>
      </c>
      <c r="Q5">
        <v>10</v>
      </c>
      <c r="R5">
        <v>3</v>
      </c>
      <c r="S5">
        <v>13</v>
      </c>
    </row>
    <row r="6" spans="1:19" x14ac:dyDescent="0.2">
      <c r="A6">
        <v>5</v>
      </c>
      <c r="B6" t="s">
        <v>17</v>
      </c>
      <c r="C6" t="s">
        <v>19</v>
      </c>
      <c r="D6" t="s">
        <v>29</v>
      </c>
      <c r="E6">
        <v>19240105801</v>
      </c>
      <c r="F6" t="s">
        <v>35</v>
      </c>
      <c r="G6" t="s">
        <v>38</v>
      </c>
      <c r="H6" t="s">
        <v>43</v>
      </c>
      <c r="I6">
        <v>22</v>
      </c>
      <c r="J6">
        <v>29</v>
      </c>
      <c r="K6">
        <v>51</v>
      </c>
      <c r="L6">
        <v>30</v>
      </c>
      <c r="M6">
        <v>6</v>
      </c>
      <c r="N6">
        <v>8</v>
      </c>
      <c r="O6">
        <v>7</v>
      </c>
      <c r="P6">
        <v>5</v>
      </c>
      <c r="Q6">
        <v>9</v>
      </c>
      <c r="R6">
        <v>10</v>
      </c>
      <c r="S6">
        <v>19</v>
      </c>
    </row>
    <row r="7" spans="1:19" x14ac:dyDescent="0.2">
      <c r="A7">
        <v>6</v>
      </c>
      <c r="B7" t="s">
        <v>17</v>
      </c>
      <c r="C7" t="s">
        <v>509</v>
      </c>
      <c r="D7" t="s">
        <v>30</v>
      </c>
      <c r="E7">
        <v>19240105502</v>
      </c>
      <c r="F7" t="s">
        <v>36</v>
      </c>
      <c r="G7" t="s">
        <v>39</v>
      </c>
      <c r="H7" t="s">
        <v>42</v>
      </c>
      <c r="I7">
        <v>23</v>
      </c>
      <c r="J7">
        <v>40</v>
      </c>
      <c r="K7">
        <v>63</v>
      </c>
      <c r="L7">
        <v>45</v>
      </c>
      <c r="M7">
        <v>6</v>
      </c>
      <c r="N7">
        <v>7</v>
      </c>
      <c r="O7">
        <v>5</v>
      </c>
      <c r="P7">
        <v>6</v>
      </c>
      <c r="Q7">
        <v>8</v>
      </c>
      <c r="R7">
        <v>4</v>
      </c>
      <c r="S7">
        <v>12</v>
      </c>
    </row>
    <row r="8" spans="1:19" x14ac:dyDescent="0.2">
      <c r="A8">
        <v>7</v>
      </c>
      <c r="B8" t="s">
        <v>17</v>
      </c>
      <c r="C8" t="s">
        <v>22</v>
      </c>
      <c r="D8" t="s">
        <v>31</v>
      </c>
      <c r="E8">
        <v>19240104802</v>
      </c>
      <c r="F8" t="s">
        <v>37</v>
      </c>
      <c r="G8" t="s">
        <v>24</v>
      </c>
      <c r="H8" t="s">
        <v>42</v>
      </c>
      <c r="I8">
        <v>29</v>
      </c>
      <c r="J8">
        <v>40</v>
      </c>
      <c r="K8">
        <v>69</v>
      </c>
      <c r="L8">
        <v>46</v>
      </c>
      <c r="M8">
        <v>5</v>
      </c>
      <c r="N8">
        <v>8</v>
      </c>
      <c r="O8">
        <v>10</v>
      </c>
      <c r="P8">
        <v>6</v>
      </c>
      <c r="Q8">
        <v>4</v>
      </c>
      <c r="R8">
        <v>3</v>
      </c>
      <c r="S8">
        <v>7</v>
      </c>
    </row>
    <row r="9" spans="1:19" x14ac:dyDescent="0.2">
      <c r="A9">
        <v>8</v>
      </c>
      <c r="B9" t="s">
        <v>17</v>
      </c>
      <c r="C9" t="s">
        <v>20</v>
      </c>
      <c r="D9" t="s">
        <v>32</v>
      </c>
      <c r="E9">
        <v>19240107103</v>
      </c>
      <c r="F9" t="s">
        <v>35</v>
      </c>
      <c r="G9" t="s">
        <v>24</v>
      </c>
      <c r="H9" t="s">
        <v>44</v>
      </c>
      <c r="I9">
        <v>37</v>
      </c>
      <c r="J9">
        <v>33</v>
      </c>
      <c r="K9">
        <v>70</v>
      </c>
      <c r="L9">
        <v>49</v>
      </c>
      <c r="M9">
        <v>6</v>
      </c>
      <c r="N9">
        <v>8</v>
      </c>
      <c r="O9">
        <v>7</v>
      </c>
      <c r="P9">
        <v>10</v>
      </c>
      <c r="Q9">
        <v>2</v>
      </c>
      <c r="R9">
        <v>4</v>
      </c>
      <c r="S9">
        <v>6</v>
      </c>
    </row>
    <row r="10" spans="1:19" x14ac:dyDescent="0.2">
      <c r="A10">
        <v>9</v>
      </c>
      <c r="B10" t="s">
        <v>17</v>
      </c>
      <c r="C10" t="s">
        <v>19</v>
      </c>
      <c r="D10" t="s">
        <v>33</v>
      </c>
      <c r="E10">
        <v>19240100201</v>
      </c>
      <c r="F10" t="s">
        <v>37</v>
      </c>
      <c r="G10" t="s">
        <v>23</v>
      </c>
      <c r="H10" t="s">
        <v>43</v>
      </c>
      <c r="I10">
        <v>31</v>
      </c>
      <c r="J10">
        <v>38</v>
      </c>
      <c r="K10">
        <v>69</v>
      </c>
      <c r="L10">
        <v>45</v>
      </c>
      <c r="M10">
        <v>8</v>
      </c>
      <c r="N10">
        <v>6</v>
      </c>
      <c r="O10">
        <v>10</v>
      </c>
      <c r="P10">
        <v>5</v>
      </c>
      <c r="Q10">
        <v>10</v>
      </c>
      <c r="R10">
        <v>9</v>
      </c>
      <c r="S10">
        <v>19</v>
      </c>
    </row>
    <row r="11" spans="1:19" x14ac:dyDescent="0.2">
      <c r="A11">
        <v>10</v>
      </c>
      <c r="B11" t="s">
        <v>17</v>
      </c>
      <c r="C11" t="s">
        <v>20</v>
      </c>
      <c r="D11" t="s">
        <v>34</v>
      </c>
      <c r="E11">
        <v>19240100103</v>
      </c>
      <c r="F11" t="s">
        <v>36</v>
      </c>
      <c r="G11" t="s">
        <v>40</v>
      </c>
      <c r="H11" t="s">
        <v>42</v>
      </c>
      <c r="I11">
        <v>27</v>
      </c>
      <c r="J11">
        <v>32</v>
      </c>
      <c r="K11">
        <v>59</v>
      </c>
      <c r="L11">
        <v>37</v>
      </c>
      <c r="M11">
        <v>10</v>
      </c>
      <c r="N11">
        <v>7</v>
      </c>
      <c r="O11">
        <v>5</v>
      </c>
      <c r="P11">
        <v>5</v>
      </c>
      <c r="Q11">
        <v>3</v>
      </c>
      <c r="R11">
        <v>2</v>
      </c>
      <c r="S11">
        <v>5</v>
      </c>
    </row>
    <row r="12" spans="1:19" x14ac:dyDescent="0.2">
      <c r="A12">
        <v>11</v>
      </c>
      <c r="B12" t="s">
        <v>17</v>
      </c>
      <c r="C12" t="s">
        <v>509</v>
      </c>
      <c r="D12" t="s">
        <v>45</v>
      </c>
      <c r="E12">
        <v>19240100105</v>
      </c>
      <c r="F12" t="s">
        <v>35</v>
      </c>
      <c r="G12" t="s">
        <v>23</v>
      </c>
      <c r="H12" t="s">
        <v>42</v>
      </c>
      <c r="I12">
        <v>14</v>
      </c>
      <c r="J12">
        <v>25</v>
      </c>
      <c r="K12">
        <v>49</v>
      </c>
    </row>
  </sheetData>
  <dataConsolidate/>
  <phoneticPr fontId="2" type="noConversion"/>
  <dataValidations count="6">
    <dataValidation type="list" allowBlank="1" showInputMessage="1" showErrorMessage="1" sqref="B102:B471" xr:uid="{2F1BAF29-BBF9-A949-9225-87EF4D6CD5DE}">
      <formula1>"Kalimpong"</formula1>
    </dataValidation>
    <dataValidation type="list" allowBlank="1" showInputMessage="1" showErrorMessage="1" sqref="G102:G471" xr:uid="{CFBF1188-EA72-544D-808F-B2003E531249}">
      <formula1>"Class 12, Class 10, Class 8, Class 5, Class 4"</formula1>
    </dataValidation>
    <dataValidation type="list" allowBlank="1" showInputMessage="1" showErrorMessage="1" sqref="H102:H471" xr:uid="{4974C344-71D5-C247-AE9F-E63B363CF305}">
      <formula1>"Pre-Primary, Class 1, Class 5, Class 6, Class 9, Class 11"</formula1>
    </dataValidation>
    <dataValidation type="list" allowBlank="1" showInputMessage="1" showErrorMessage="1" sqref="F102:F471" xr:uid="{083476AB-07AE-B14F-8D23-EA6BB760630E}">
      <formula1>"Department of Education, Government Sponsored, Madrasa Recognized"</formula1>
    </dataValidation>
    <dataValidation type="whole" operator="greaterThanOrEqual" allowBlank="1" showInputMessage="1" showErrorMessage="1" sqref="I102:S471" xr:uid="{76568CF5-D858-5643-8A32-C959E756B965}">
      <formula1>0</formula1>
    </dataValidation>
    <dataValidation type="list" allowBlank="1" showInputMessage="1" showErrorMessage="1" sqref="C102:C471" xr:uid="{2C6A1F7C-83BF-C94B-B36F-20B18D4950A2}">
      <formula1>"Kalimpong - 1, Kalimpong - 2, Gorubathan, Kalimpong Municipality"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17B0-FD55-264C-94EA-4F68E1709AFF}">
  <dimension ref="A1:S36"/>
  <sheetViews>
    <sheetView tabSelected="1" topLeftCell="C11" zoomScale="110" zoomScaleNormal="110" workbookViewId="0">
      <selection activeCell="C36" sqref="C36:G36"/>
    </sheetView>
  </sheetViews>
  <sheetFormatPr baseColWidth="10" defaultRowHeight="16" x14ac:dyDescent="0.2"/>
  <cols>
    <col min="1" max="1" width="7" customWidth="1"/>
    <col min="3" max="3" width="16.83203125" customWidth="1"/>
    <col min="5" max="5" width="12.1640625" bestFit="1" customWidth="1"/>
    <col min="6" max="6" width="22" bestFit="1" customWidth="1"/>
  </cols>
  <sheetData>
    <row r="1" spans="1:19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14</v>
      </c>
      <c r="M1" s="3" t="s">
        <v>9</v>
      </c>
      <c r="N1" s="3" t="s">
        <v>10</v>
      </c>
      <c r="O1" s="3" t="s">
        <v>15</v>
      </c>
      <c r="P1" s="3" t="s">
        <v>16</v>
      </c>
      <c r="Q1" s="3" t="s">
        <v>11</v>
      </c>
      <c r="R1" s="3" t="s">
        <v>12</v>
      </c>
      <c r="S1" s="3" t="s">
        <v>13</v>
      </c>
    </row>
    <row r="2" spans="1:19" x14ac:dyDescent="0.2">
      <c r="A2">
        <v>1</v>
      </c>
      <c r="B2" t="s">
        <v>17</v>
      </c>
      <c r="C2" t="s">
        <v>19</v>
      </c>
      <c r="D2" t="s">
        <v>25</v>
      </c>
      <c r="E2">
        <v>19240101401</v>
      </c>
      <c r="F2" t="s">
        <v>35</v>
      </c>
      <c r="G2" t="s">
        <v>23</v>
      </c>
      <c r="H2" t="s">
        <v>41</v>
      </c>
      <c r="I2">
        <v>31</v>
      </c>
      <c r="J2">
        <v>24</v>
      </c>
      <c r="K2">
        <v>55</v>
      </c>
      <c r="L2">
        <v>29</v>
      </c>
      <c r="M2">
        <v>9</v>
      </c>
      <c r="N2">
        <v>10</v>
      </c>
      <c r="O2">
        <v>7</v>
      </c>
      <c r="P2">
        <v>5</v>
      </c>
      <c r="Q2">
        <v>4</v>
      </c>
      <c r="R2">
        <v>10</v>
      </c>
      <c r="S2">
        <v>14</v>
      </c>
    </row>
    <row r="3" spans="1:19" x14ac:dyDescent="0.2">
      <c r="A3">
        <v>2</v>
      </c>
      <c r="B3" t="s">
        <v>17</v>
      </c>
      <c r="C3" t="s">
        <v>20</v>
      </c>
      <c r="D3" t="s">
        <v>26</v>
      </c>
      <c r="E3">
        <v>19240101401</v>
      </c>
      <c r="F3" t="s">
        <v>36</v>
      </c>
      <c r="G3" t="s">
        <v>38</v>
      </c>
      <c r="H3" t="s">
        <v>42</v>
      </c>
      <c r="I3">
        <v>40</v>
      </c>
      <c r="J3">
        <v>22</v>
      </c>
      <c r="K3">
        <v>62</v>
      </c>
      <c r="L3">
        <v>41</v>
      </c>
      <c r="M3">
        <v>8</v>
      </c>
      <c r="N3">
        <v>8</v>
      </c>
      <c r="O3">
        <v>5</v>
      </c>
      <c r="P3">
        <v>5</v>
      </c>
      <c r="Q3">
        <v>6</v>
      </c>
      <c r="R3">
        <v>4</v>
      </c>
      <c r="S3">
        <v>10</v>
      </c>
    </row>
    <row r="4" spans="1:19" x14ac:dyDescent="0.2">
      <c r="A4">
        <v>3</v>
      </c>
      <c r="B4" t="s">
        <v>17</v>
      </c>
      <c r="C4" t="s">
        <v>22</v>
      </c>
      <c r="D4" t="s">
        <v>27</v>
      </c>
      <c r="E4">
        <v>19240401504</v>
      </c>
      <c r="F4" t="s">
        <v>36</v>
      </c>
      <c r="G4" t="s">
        <v>39</v>
      </c>
      <c r="H4" t="s">
        <v>41</v>
      </c>
      <c r="I4">
        <v>39</v>
      </c>
      <c r="J4">
        <v>22</v>
      </c>
      <c r="K4">
        <v>61</v>
      </c>
      <c r="L4">
        <v>37</v>
      </c>
      <c r="M4">
        <v>7</v>
      </c>
      <c r="N4">
        <v>7</v>
      </c>
      <c r="O4">
        <v>10</v>
      </c>
      <c r="P4">
        <v>8</v>
      </c>
      <c r="Q4">
        <v>5</v>
      </c>
      <c r="R4">
        <v>0</v>
      </c>
      <c r="S4">
        <v>5</v>
      </c>
    </row>
    <row r="5" spans="1:19" x14ac:dyDescent="0.2">
      <c r="A5">
        <v>4</v>
      </c>
      <c r="B5" t="s">
        <v>17</v>
      </c>
      <c r="C5" t="s">
        <v>19</v>
      </c>
      <c r="D5" t="s">
        <v>28</v>
      </c>
      <c r="E5">
        <v>19240301102</v>
      </c>
      <c r="F5" t="s">
        <v>36</v>
      </c>
      <c r="G5" t="s">
        <v>24</v>
      </c>
      <c r="H5" t="s">
        <v>42</v>
      </c>
      <c r="I5">
        <v>36</v>
      </c>
      <c r="J5">
        <v>32</v>
      </c>
      <c r="K5">
        <v>68</v>
      </c>
      <c r="L5">
        <v>46</v>
      </c>
      <c r="M5">
        <v>8</v>
      </c>
      <c r="N5">
        <v>9</v>
      </c>
      <c r="O5">
        <v>5</v>
      </c>
      <c r="P5">
        <v>8</v>
      </c>
      <c r="Q5">
        <v>0</v>
      </c>
      <c r="R5">
        <v>1</v>
      </c>
      <c r="S5">
        <v>1</v>
      </c>
    </row>
    <row r="6" spans="1:19" x14ac:dyDescent="0.2">
      <c r="A6">
        <v>5</v>
      </c>
      <c r="B6" t="s">
        <v>17</v>
      </c>
      <c r="C6" t="s">
        <v>20</v>
      </c>
      <c r="D6" t="s">
        <v>29</v>
      </c>
      <c r="E6">
        <v>19240207201</v>
      </c>
      <c r="F6" t="s">
        <v>35</v>
      </c>
      <c r="G6" t="s">
        <v>38</v>
      </c>
      <c r="H6" t="s">
        <v>43</v>
      </c>
      <c r="I6">
        <v>38</v>
      </c>
      <c r="J6">
        <v>21</v>
      </c>
      <c r="K6">
        <v>59</v>
      </c>
      <c r="L6">
        <v>37</v>
      </c>
      <c r="M6">
        <v>6</v>
      </c>
      <c r="N6">
        <v>8</v>
      </c>
      <c r="O6">
        <v>8</v>
      </c>
      <c r="P6">
        <v>7</v>
      </c>
      <c r="Q6">
        <v>3</v>
      </c>
      <c r="R6">
        <v>2</v>
      </c>
      <c r="S6">
        <v>5</v>
      </c>
    </row>
    <row r="7" spans="1:19" x14ac:dyDescent="0.2">
      <c r="A7">
        <v>6</v>
      </c>
      <c r="B7" t="s">
        <v>17</v>
      </c>
      <c r="C7" t="s">
        <v>22</v>
      </c>
      <c r="D7" t="s">
        <v>30</v>
      </c>
      <c r="E7">
        <v>19240101101</v>
      </c>
      <c r="F7" t="s">
        <v>36</v>
      </c>
      <c r="G7" t="s">
        <v>39</v>
      </c>
      <c r="H7" t="s">
        <v>42</v>
      </c>
      <c r="I7">
        <v>25</v>
      </c>
      <c r="J7">
        <v>20</v>
      </c>
      <c r="K7">
        <v>45</v>
      </c>
      <c r="L7">
        <v>17</v>
      </c>
      <c r="M7">
        <v>10</v>
      </c>
      <c r="N7">
        <v>10</v>
      </c>
      <c r="O7">
        <v>8</v>
      </c>
      <c r="P7">
        <v>8</v>
      </c>
      <c r="Q7">
        <v>7</v>
      </c>
      <c r="R7">
        <v>9</v>
      </c>
      <c r="S7">
        <v>16</v>
      </c>
    </row>
    <row r="8" spans="1:19" x14ac:dyDescent="0.2">
      <c r="A8">
        <v>7</v>
      </c>
      <c r="B8" t="s">
        <v>17</v>
      </c>
      <c r="C8" t="s">
        <v>19</v>
      </c>
      <c r="D8" t="s">
        <v>31</v>
      </c>
      <c r="E8">
        <v>19240100103</v>
      </c>
      <c r="F8" t="s">
        <v>37</v>
      </c>
      <c r="G8" t="s">
        <v>24</v>
      </c>
      <c r="H8" t="s">
        <v>42</v>
      </c>
      <c r="I8">
        <v>26</v>
      </c>
      <c r="J8">
        <v>35</v>
      </c>
      <c r="K8">
        <v>61</v>
      </c>
      <c r="L8">
        <v>42</v>
      </c>
      <c r="M8">
        <v>5</v>
      </c>
      <c r="N8">
        <v>6</v>
      </c>
      <c r="O8">
        <v>8</v>
      </c>
      <c r="P8">
        <v>7</v>
      </c>
      <c r="Q8">
        <v>5</v>
      </c>
      <c r="R8">
        <v>2</v>
      </c>
      <c r="S8">
        <v>7</v>
      </c>
    </row>
    <row r="9" spans="1:19" x14ac:dyDescent="0.2">
      <c r="A9">
        <v>8</v>
      </c>
      <c r="B9" t="s">
        <v>17</v>
      </c>
      <c r="C9" t="s">
        <v>20</v>
      </c>
      <c r="D9" t="s">
        <v>32</v>
      </c>
      <c r="E9">
        <v>19240401504</v>
      </c>
      <c r="F9" t="s">
        <v>35</v>
      </c>
      <c r="G9" t="s">
        <v>24</v>
      </c>
      <c r="H9" t="s">
        <v>44</v>
      </c>
      <c r="I9">
        <v>28</v>
      </c>
      <c r="J9">
        <v>40</v>
      </c>
      <c r="K9">
        <v>68</v>
      </c>
      <c r="L9">
        <v>48</v>
      </c>
      <c r="M9">
        <v>7</v>
      </c>
      <c r="N9">
        <v>6</v>
      </c>
      <c r="O9">
        <v>7</v>
      </c>
      <c r="P9">
        <v>7</v>
      </c>
      <c r="Q9">
        <v>8</v>
      </c>
      <c r="R9">
        <v>8</v>
      </c>
      <c r="S9">
        <v>16</v>
      </c>
    </row>
    <row r="10" spans="1:19" x14ac:dyDescent="0.2">
      <c r="A10">
        <v>9</v>
      </c>
      <c r="B10" t="s">
        <v>17</v>
      </c>
      <c r="C10" t="s">
        <v>22</v>
      </c>
      <c r="D10" t="s">
        <v>33</v>
      </c>
      <c r="E10">
        <v>19240100901</v>
      </c>
      <c r="F10" t="s">
        <v>37</v>
      </c>
      <c r="G10" t="s">
        <v>23</v>
      </c>
      <c r="H10" t="s">
        <v>43</v>
      </c>
      <c r="I10">
        <v>37</v>
      </c>
      <c r="J10">
        <v>23</v>
      </c>
      <c r="K10">
        <v>60</v>
      </c>
      <c r="L10">
        <v>36</v>
      </c>
      <c r="M10">
        <v>9</v>
      </c>
      <c r="N10">
        <v>8</v>
      </c>
      <c r="O10">
        <v>7</v>
      </c>
      <c r="P10">
        <v>5</v>
      </c>
      <c r="Q10">
        <v>0</v>
      </c>
      <c r="R10">
        <v>0</v>
      </c>
      <c r="S10">
        <v>0</v>
      </c>
    </row>
    <row r="11" spans="1:19" x14ac:dyDescent="0.2">
      <c r="A11">
        <v>10</v>
      </c>
      <c r="B11" t="s">
        <v>17</v>
      </c>
      <c r="C11" t="s">
        <v>509</v>
      </c>
      <c r="D11" t="s">
        <v>34</v>
      </c>
      <c r="E11">
        <v>19240102001</v>
      </c>
      <c r="F11" t="s">
        <v>36</v>
      </c>
      <c r="G11" t="s">
        <v>40</v>
      </c>
      <c r="H11" t="s">
        <v>42</v>
      </c>
      <c r="I11">
        <v>26</v>
      </c>
      <c r="J11">
        <v>27</v>
      </c>
      <c r="K11">
        <v>53</v>
      </c>
      <c r="L11">
        <v>32</v>
      </c>
      <c r="M11">
        <v>6</v>
      </c>
      <c r="N11">
        <v>9</v>
      </c>
      <c r="O11">
        <v>6</v>
      </c>
      <c r="P11">
        <v>9</v>
      </c>
      <c r="Q11">
        <v>7</v>
      </c>
      <c r="R11">
        <v>9</v>
      </c>
      <c r="S11">
        <v>16</v>
      </c>
    </row>
    <row r="12" spans="1:19" x14ac:dyDescent="0.2">
      <c r="A12">
        <v>11</v>
      </c>
      <c r="B12" t="s">
        <v>17</v>
      </c>
      <c r="C12" t="s">
        <v>22</v>
      </c>
      <c r="D12" t="s">
        <v>45</v>
      </c>
      <c r="E12">
        <v>19240168248.666698</v>
      </c>
      <c r="F12" t="s">
        <v>35</v>
      </c>
      <c r="G12" t="s">
        <v>23</v>
      </c>
      <c r="H12" t="s">
        <v>41</v>
      </c>
      <c r="I12">
        <v>37</v>
      </c>
      <c r="J12">
        <v>32</v>
      </c>
      <c r="K12">
        <v>69</v>
      </c>
      <c r="L12">
        <v>42</v>
      </c>
      <c r="M12">
        <v>7</v>
      </c>
      <c r="N12">
        <v>10</v>
      </c>
      <c r="O12">
        <v>10</v>
      </c>
      <c r="P12">
        <v>5</v>
      </c>
      <c r="Q12">
        <v>2</v>
      </c>
      <c r="R12">
        <v>1</v>
      </c>
      <c r="S12">
        <v>3</v>
      </c>
    </row>
    <row r="13" spans="1:19" x14ac:dyDescent="0.2">
      <c r="A13">
        <v>12</v>
      </c>
      <c r="B13" t="s">
        <v>17</v>
      </c>
      <c r="C13" t="s">
        <v>20</v>
      </c>
      <c r="D13" t="s">
        <v>46</v>
      </c>
      <c r="E13">
        <v>19240163962.624199</v>
      </c>
      <c r="F13" t="s">
        <v>36</v>
      </c>
      <c r="G13" t="s">
        <v>38</v>
      </c>
      <c r="H13" t="s">
        <v>42</v>
      </c>
      <c r="I13">
        <v>29</v>
      </c>
      <c r="J13">
        <v>36</v>
      </c>
      <c r="K13">
        <v>65</v>
      </c>
      <c r="L13">
        <v>43</v>
      </c>
      <c r="M13">
        <v>10</v>
      </c>
      <c r="N13">
        <v>5</v>
      </c>
      <c r="O13">
        <v>7</v>
      </c>
      <c r="P13">
        <v>10</v>
      </c>
      <c r="Q13">
        <v>7</v>
      </c>
      <c r="R13">
        <v>10</v>
      </c>
      <c r="S13">
        <v>17</v>
      </c>
    </row>
    <row r="14" spans="1:19" x14ac:dyDescent="0.2">
      <c r="A14">
        <v>13</v>
      </c>
      <c r="B14" t="s">
        <v>17</v>
      </c>
      <c r="C14" t="s">
        <v>22</v>
      </c>
      <c r="D14" t="s">
        <v>47</v>
      </c>
      <c r="E14">
        <v>19240159676.581799</v>
      </c>
      <c r="F14" t="s">
        <v>36</v>
      </c>
      <c r="G14" t="s">
        <v>39</v>
      </c>
      <c r="H14" t="s">
        <v>41</v>
      </c>
      <c r="I14">
        <v>23</v>
      </c>
      <c r="J14">
        <v>28</v>
      </c>
      <c r="K14">
        <v>51</v>
      </c>
      <c r="L14">
        <v>29</v>
      </c>
      <c r="M14">
        <v>7</v>
      </c>
      <c r="N14">
        <v>7</v>
      </c>
      <c r="O14">
        <v>8</v>
      </c>
      <c r="P14">
        <v>10</v>
      </c>
      <c r="Q14">
        <v>6</v>
      </c>
      <c r="R14">
        <v>6</v>
      </c>
      <c r="S14">
        <v>12</v>
      </c>
    </row>
    <row r="15" spans="1:19" x14ac:dyDescent="0.2">
      <c r="A15">
        <v>14</v>
      </c>
      <c r="B15" t="s">
        <v>17</v>
      </c>
      <c r="C15" t="s">
        <v>19</v>
      </c>
      <c r="D15" t="s">
        <v>48</v>
      </c>
      <c r="E15">
        <v>19240155390.539398</v>
      </c>
      <c r="F15" t="s">
        <v>36</v>
      </c>
      <c r="G15" t="s">
        <v>24</v>
      </c>
      <c r="H15" t="s">
        <v>42</v>
      </c>
      <c r="I15">
        <v>37</v>
      </c>
      <c r="J15">
        <v>23</v>
      </c>
      <c r="K15">
        <v>60</v>
      </c>
      <c r="L15">
        <v>39</v>
      </c>
      <c r="M15">
        <v>8</v>
      </c>
      <c r="N15">
        <v>5</v>
      </c>
      <c r="O15">
        <v>8</v>
      </c>
      <c r="P15">
        <v>10</v>
      </c>
      <c r="Q15">
        <v>1</v>
      </c>
      <c r="R15">
        <v>4</v>
      </c>
      <c r="S15">
        <v>5</v>
      </c>
    </row>
    <row r="16" spans="1:19" x14ac:dyDescent="0.2">
      <c r="A16">
        <v>15</v>
      </c>
      <c r="B16" t="s">
        <v>17</v>
      </c>
      <c r="C16" t="s">
        <v>509</v>
      </c>
      <c r="D16" t="s">
        <v>49</v>
      </c>
      <c r="E16">
        <v>19240151104.497002</v>
      </c>
      <c r="F16" t="s">
        <v>35</v>
      </c>
      <c r="G16" t="s">
        <v>38</v>
      </c>
      <c r="H16" t="s">
        <v>43</v>
      </c>
      <c r="I16">
        <v>39</v>
      </c>
      <c r="J16">
        <v>20</v>
      </c>
      <c r="K16">
        <v>59</v>
      </c>
      <c r="L16">
        <v>39</v>
      </c>
      <c r="M16">
        <v>8</v>
      </c>
      <c r="N16">
        <v>5</v>
      </c>
      <c r="O16">
        <v>7</v>
      </c>
      <c r="P16">
        <v>6</v>
      </c>
      <c r="Q16">
        <v>5</v>
      </c>
      <c r="R16">
        <v>4</v>
      </c>
      <c r="S16">
        <v>9</v>
      </c>
    </row>
    <row r="17" spans="1:19" x14ac:dyDescent="0.2">
      <c r="A17">
        <v>16</v>
      </c>
      <c r="B17" t="s">
        <v>17</v>
      </c>
      <c r="C17" t="s">
        <v>22</v>
      </c>
      <c r="D17" t="s">
        <v>50</v>
      </c>
      <c r="E17">
        <v>19240146818.454498</v>
      </c>
      <c r="F17" t="s">
        <v>36</v>
      </c>
      <c r="G17" t="s">
        <v>39</v>
      </c>
      <c r="H17" t="s">
        <v>42</v>
      </c>
      <c r="I17">
        <v>21</v>
      </c>
      <c r="J17">
        <v>24</v>
      </c>
      <c r="K17">
        <v>45</v>
      </c>
      <c r="L17">
        <v>20</v>
      </c>
      <c r="M17">
        <v>7</v>
      </c>
      <c r="N17">
        <v>10</v>
      </c>
      <c r="O17">
        <v>8</v>
      </c>
      <c r="P17">
        <v>5</v>
      </c>
      <c r="Q17">
        <v>9</v>
      </c>
      <c r="R17">
        <v>5</v>
      </c>
      <c r="S17">
        <v>14</v>
      </c>
    </row>
    <row r="18" spans="1:19" x14ac:dyDescent="0.2">
      <c r="A18">
        <v>17</v>
      </c>
      <c r="B18" t="s">
        <v>17</v>
      </c>
      <c r="C18" t="s">
        <v>20</v>
      </c>
      <c r="D18" t="s">
        <v>51</v>
      </c>
      <c r="E18">
        <v>19240142532.412102</v>
      </c>
      <c r="F18" t="s">
        <v>37</v>
      </c>
      <c r="G18" t="s">
        <v>24</v>
      </c>
      <c r="H18" t="s">
        <v>42</v>
      </c>
      <c r="I18">
        <v>30</v>
      </c>
      <c r="J18">
        <v>21</v>
      </c>
      <c r="K18">
        <v>51</v>
      </c>
      <c r="L18">
        <v>30</v>
      </c>
      <c r="M18">
        <v>5</v>
      </c>
      <c r="N18">
        <v>6</v>
      </c>
      <c r="O18">
        <v>10</v>
      </c>
      <c r="P18">
        <v>10</v>
      </c>
      <c r="Q18">
        <v>6</v>
      </c>
      <c r="R18">
        <v>1</v>
      </c>
      <c r="S18">
        <v>7</v>
      </c>
    </row>
    <row r="19" spans="1:19" x14ac:dyDescent="0.2">
      <c r="A19">
        <v>18</v>
      </c>
      <c r="B19" t="s">
        <v>17</v>
      </c>
      <c r="C19" t="s">
        <v>19</v>
      </c>
      <c r="D19" t="s">
        <v>52</v>
      </c>
      <c r="E19">
        <v>19240138246.369701</v>
      </c>
      <c r="F19" t="s">
        <v>35</v>
      </c>
      <c r="G19" t="s">
        <v>24</v>
      </c>
      <c r="H19" t="s">
        <v>44</v>
      </c>
      <c r="I19">
        <v>30</v>
      </c>
      <c r="J19">
        <v>39</v>
      </c>
      <c r="K19">
        <v>69</v>
      </c>
      <c r="L19">
        <v>46</v>
      </c>
      <c r="M19">
        <v>10</v>
      </c>
      <c r="N19">
        <v>7</v>
      </c>
      <c r="O19">
        <v>6</v>
      </c>
      <c r="P19">
        <v>9</v>
      </c>
      <c r="Q19">
        <v>3</v>
      </c>
      <c r="R19">
        <v>10</v>
      </c>
      <c r="S19">
        <v>13</v>
      </c>
    </row>
    <row r="20" spans="1:19" x14ac:dyDescent="0.2">
      <c r="A20">
        <v>19</v>
      </c>
      <c r="B20" t="s">
        <v>17</v>
      </c>
      <c r="C20" t="s">
        <v>20</v>
      </c>
      <c r="D20" t="s">
        <v>53</v>
      </c>
      <c r="E20">
        <v>19240133960.327301</v>
      </c>
      <c r="F20" t="s">
        <v>37</v>
      </c>
      <c r="G20" t="s">
        <v>23</v>
      </c>
      <c r="H20" t="s">
        <v>43</v>
      </c>
      <c r="I20">
        <v>30</v>
      </c>
      <c r="J20">
        <v>34</v>
      </c>
      <c r="K20">
        <v>64</v>
      </c>
      <c r="L20">
        <v>44</v>
      </c>
      <c r="M20">
        <v>5</v>
      </c>
      <c r="N20">
        <v>5</v>
      </c>
      <c r="O20">
        <v>10</v>
      </c>
      <c r="P20">
        <v>9</v>
      </c>
      <c r="Q20">
        <v>3</v>
      </c>
      <c r="R20">
        <v>7</v>
      </c>
      <c r="S20">
        <v>10</v>
      </c>
    </row>
    <row r="21" spans="1:19" x14ac:dyDescent="0.2">
      <c r="A21">
        <v>20</v>
      </c>
      <c r="B21" t="s">
        <v>17</v>
      </c>
      <c r="C21" t="s">
        <v>509</v>
      </c>
      <c r="D21" t="s">
        <v>54</v>
      </c>
      <c r="E21">
        <v>19240129674.284901</v>
      </c>
      <c r="F21" t="s">
        <v>36</v>
      </c>
      <c r="G21" t="s">
        <v>40</v>
      </c>
      <c r="H21" t="s">
        <v>42</v>
      </c>
      <c r="I21">
        <v>35</v>
      </c>
      <c r="J21">
        <v>20</v>
      </c>
      <c r="K21">
        <v>55</v>
      </c>
      <c r="L21">
        <v>34</v>
      </c>
      <c r="M21">
        <v>5</v>
      </c>
      <c r="N21">
        <v>10</v>
      </c>
      <c r="O21">
        <v>6</v>
      </c>
      <c r="P21">
        <v>8</v>
      </c>
      <c r="Q21">
        <v>9</v>
      </c>
      <c r="R21">
        <v>6</v>
      </c>
      <c r="S21">
        <v>15</v>
      </c>
    </row>
    <row r="22" spans="1:19" x14ac:dyDescent="0.2">
      <c r="A22">
        <v>21</v>
      </c>
      <c r="B22" t="s">
        <v>17</v>
      </c>
      <c r="C22" t="s">
        <v>22</v>
      </c>
      <c r="D22" t="s">
        <v>55</v>
      </c>
      <c r="E22">
        <v>19240125388.242401</v>
      </c>
      <c r="F22" t="s">
        <v>35</v>
      </c>
      <c r="G22" t="s">
        <v>23</v>
      </c>
      <c r="H22" t="s">
        <v>41</v>
      </c>
      <c r="I22">
        <v>25</v>
      </c>
      <c r="J22">
        <v>38</v>
      </c>
      <c r="K22">
        <v>63</v>
      </c>
      <c r="L22">
        <v>39</v>
      </c>
      <c r="M22">
        <v>9</v>
      </c>
      <c r="N22">
        <v>9</v>
      </c>
      <c r="O22">
        <v>6</v>
      </c>
      <c r="P22">
        <v>8</v>
      </c>
      <c r="Q22">
        <v>6</v>
      </c>
      <c r="R22">
        <v>5</v>
      </c>
      <c r="S22">
        <v>11</v>
      </c>
    </row>
    <row r="23" spans="1:19" x14ac:dyDescent="0.2">
      <c r="A23">
        <v>22</v>
      </c>
      <c r="B23" t="s">
        <v>17</v>
      </c>
      <c r="C23" t="s">
        <v>20</v>
      </c>
      <c r="D23" t="s">
        <v>56</v>
      </c>
      <c r="E23">
        <v>19240121102.200001</v>
      </c>
      <c r="F23" t="s">
        <v>36</v>
      </c>
      <c r="G23" t="s">
        <v>38</v>
      </c>
      <c r="H23" t="s">
        <v>42</v>
      </c>
      <c r="I23">
        <v>36</v>
      </c>
      <c r="J23">
        <v>32</v>
      </c>
      <c r="K23">
        <v>68</v>
      </c>
      <c r="L23">
        <v>45</v>
      </c>
      <c r="M23">
        <v>10</v>
      </c>
      <c r="N23">
        <v>8</v>
      </c>
      <c r="O23">
        <v>5</v>
      </c>
      <c r="P23">
        <v>10</v>
      </c>
      <c r="Q23">
        <v>4</v>
      </c>
      <c r="R23">
        <v>2</v>
      </c>
      <c r="S23">
        <v>6</v>
      </c>
    </row>
    <row r="24" spans="1:19" x14ac:dyDescent="0.2">
      <c r="A24">
        <v>23</v>
      </c>
      <c r="B24" t="s">
        <v>17</v>
      </c>
      <c r="C24" t="s">
        <v>22</v>
      </c>
      <c r="D24" t="s">
        <v>57</v>
      </c>
      <c r="E24">
        <v>19240116816.1576</v>
      </c>
      <c r="F24" t="s">
        <v>36</v>
      </c>
      <c r="G24" t="s">
        <v>39</v>
      </c>
      <c r="H24" t="s">
        <v>41</v>
      </c>
      <c r="I24">
        <v>20</v>
      </c>
      <c r="J24">
        <v>35</v>
      </c>
      <c r="K24">
        <v>55</v>
      </c>
      <c r="L24">
        <v>38</v>
      </c>
      <c r="M24">
        <v>5</v>
      </c>
      <c r="N24">
        <v>5</v>
      </c>
      <c r="O24">
        <v>7</v>
      </c>
      <c r="P24">
        <v>8</v>
      </c>
      <c r="Q24">
        <v>2</v>
      </c>
      <c r="R24">
        <v>0</v>
      </c>
      <c r="S24">
        <v>2</v>
      </c>
    </row>
    <row r="25" spans="1:19" x14ac:dyDescent="0.2">
      <c r="A25">
        <v>24</v>
      </c>
      <c r="B25" t="s">
        <v>17</v>
      </c>
      <c r="C25" t="s">
        <v>19</v>
      </c>
      <c r="D25" t="s">
        <v>58</v>
      </c>
      <c r="E25">
        <v>19240112530.1152</v>
      </c>
      <c r="F25" t="s">
        <v>36</v>
      </c>
      <c r="G25" t="s">
        <v>24</v>
      </c>
      <c r="H25" t="s">
        <v>42</v>
      </c>
      <c r="I25">
        <v>27</v>
      </c>
      <c r="J25">
        <v>29</v>
      </c>
      <c r="K25">
        <v>56</v>
      </c>
      <c r="L25">
        <v>31</v>
      </c>
      <c r="M25">
        <v>6</v>
      </c>
      <c r="N25">
        <v>9</v>
      </c>
      <c r="O25">
        <v>10</v>
      </c>
      <c r="P25">
        <v>10</v>
      </c>
      <c r="Q25">
        <v>8</v>
      </c>
      <c r="R25">
        <v>8</v>
      </c>
      <c r="S25">
        <v>16</v>
      </c>
    </row>
    <row r="26" spans="1:19" x14ac:dyDescent="0.2">
      <c r="A26">
        <v>25</v>
      </c>
      <c r="B26" t="s">
        <v>17</v>
      </c>
      <c r="C26" t="s">
        <v>509</v>
      </c>
      <c r="D26" t="s">
        <v>59</v>
      </c>
      <c r="E26">
        <v>19240108244.072701</v>
      </c>
      <c r="F26" t="s">
        <v>35</v>
      </c>
      <c r="G26" t="s">
        <v>38</v>
      </c>
      <c r="H26" t="s">
        <v>43</v>
      </c>
      <c r="I26">
        <v>23</v>
      </c>
      <c r="J26">
        <v>35</v>
      </c>
      <c r="K26">
        <v>58</v>
      </c>
      <c r="L26">
        <v>36</v>
      </c>
      <c r="M26">
        <v>5</v>
      </c>
      <c r="N26">
        <v>8</v>
      </c>
      <c r="O26">
        <v>9</v>
      </c>
      <c r="P26">
        <v>8</v>
      </c>
      <c r="Q26">
        <v>5</v>
      </c>
      <c r="R26">
        <v>6</v>
      </c>
      <c r="S26">
        <v>11</v>
      </c>
    </row>
    <row r="27" spans="1:19" x14ac:dyDescent="0.2">
      <c r="A27">
        <v>26</v>
      </c>
      <c r="B27" t="s">
        <v>17</v>
      </c>
      <c r="C27" t="s">
        <v>22</v>
      </c>
      <c r="D27" t="s">
        <v>60</v>
      </c>
      <c r="E27">
        <v>19240103958.0303</v>
      </c>
      <c r="F27" t="s">
        <v>36</v>
      </c>
      <c r="G27" t="s">
        <v>39</v>
      </c>
      <c r="H27" t="s">
        <v>42</v>
      </c>
      <c r="I27">
        <v>40</v>
      </c>
      <c r="J27">
        <v>22</v>
      </c>
      <c r="K27">
        <v>62</v>
      </c>
      <c r="L27">
        <v>36</v>
      </c>
      <c r="M27">
        <v>10</v>
      </c>
      <c r="N27">
        <v>6</v>
      </c>
      <c r="O27">
        <v>10</v>
      </c>
      <c r="P27">
        <v>10</v>
      </c>
      <c r="Q27">
        <v>8</v>
      </c>
      <c r="R27">
        <v>6</v>
      </c>
      <c r="S27">
        <v>14</v>
      </c>
    </row>
    <row r="28" spans="1:19" x14ac:dyDescent="0.2">
      <c r="A28">
        <v>27</v>
      </c>
      <c r="B28" t="s">
        <v>17</v>
      </c>
      <c r="C28" t="s">
        <v>20</v>
      </c>
      <c r="D28" t="s">
        <v>61</v>
      </c>
      <c r="E28">
        <v>19240099671.9879</v>
      </c>
      <c r="F28" t="s">
        <v>37</v>
      </c>
      <c r="G28" t="s">
        <v>24</v>
      </c>
      <c r="H28" t="s">
        <v>42</v>
      </c>
      <c r="I28">
        <v>30</v>
      </c>
      <c r="J28">
        <v>20</v>
      </c>
      <c r="K28">
        <v>50</v>
      </c>
      <c r="L28">
        <v>27</v>
      </c>
      <c r="M28">
        <v>7</v>
      </c>
      <c r="N28">
        <v>7</v>
      </c>
      <c r="O28">
        <v>9</v>
      </c>
      <c r="P28">
        <v>9</v>
      </c>
      <c r="Q28">
        <v>2</v>
      </c>
      <c r="R28">
        <v>9</v>
      </c>
      <c r="S28">
        <v>11</v>
      </c>
    </row>
    <row r="29" spans="1:19" x14ac:dyDescent="0.2">
      <c r="A29">
        <v>28</v>
      </c>
      <c r="B29" t="s">
        <v>17</v>
      </c>
      <c r="C29" t="s">
        <v>19</v>
      </c>
      <c r="D29" t="s">
        <v>62</v>
      </c>
      <c r="E29">
        <v>19240095385.945499</v>
      </c>
      <c r="F29" t="s">
        <v>35</v>
      </c>
      <c r="G29" t="s">
        <v>24</v>
      </c>
      <c r="H29" t="s">
        <v>44</v>
      </c>
      <c r="I29">
        <v>37</v>
      </c>
      <c r="J29">
        <v>36</v>
      </c>
      <c r="K29">
        <v>73</v>
      </c>
      <c r="L29">
        <v>54</v>
      </c>
      <c r="M29">
        <v>6</v>
      </c>
      <c r="N29">
        <v>7</v>
      </c>
      <c r="O29">
        <v>6</v>
      </c>
      <c r="P29">
        <v>6</v>
      </c>
      <c r="Q29">
        <v>3</v>
      </c>
      <c r="R29">
        <v>8</v>
      </c>
      <c r="S29">
        <v>11</v>
      </c>
    </row>
    <row r="30" spans="1:19" x14ac:dyDescent="0.2">
      <c r="A30">
        <v>29</v>
      </c>
      <c r="B30" t="s">
        <v>17</v>
      </c>
      <c r="C30" t="s">
        <v>20</v>
      </c>
      <c r="D30" t="s">
        <v>63</v>
      </c>
      <c r="E30">
        <v>19240091099.903</v>
      </c>
      <c r="F30" t="s">
        <v>37</v>
      </c>
      <c r="G30" t="s">
        <v>23</v>
      </c>
      <c r="H30" t="s">
        <v>43</v>
      </c>
      <c r="I30">
        <v>31</v>
      </c>
      <c r="J30">
        <v>23</v>
      </c>
      <c r="K30">
        <v>54</v>
      </c>
      <c r="L30">
        <v>32</v>
      </c>
      <c r="M30">
        <v>6</v>
      </c>
      <c r="N30">
        <v>6</v>
      </c>
      <c r="O30">
        <v>10</v>
      </c>
      <c r="P30">
        <v>8</v>
      </c>
      <c r="Q30">
        <v>8</v>
      </c>
      <c r="R30">
        <v>0</v>
      </c>
      <c r="S30">
        <v>8</v>
      </c>
    </row>
    <row r="31" spans="1:19" x14ac:dyDescent="0.2">
      <c r="A31">
        <v>30</v>
      </c>
      <c r="B31" t="s">
        <v>17</v>
      </c>
      <c r="C31" t="s">
        <v>22</v>
      </c>
      <c r="D31" t="s">
        <v>64</v>
      </c>
      <c r="E31">
        <v>19240086813.8606</v>
      </c>
      <c r="F31" t="s">
        <v>36</v>
      </c>
      <c r="G31" t="s">
        <v>40</v>
      </c>
      <c r="H31" t="s">
        <v>42</v>
      </c>
      <c r="I31">
        <v>21</v>
      </c>
      <c r="J31">
        <v>22</v>
      </c>
      <c r="K31">
        <v>43</v>
      </c>
      <c r="L31">
        <v>21</v>
      </c>
      <c r="M31">
        <v>6</v>
      </c>
      <c r="N31">
        <v>10</v>
      </c>
      <c r="O31">
        <v>6</v>
      </c>
      <c r="P31">
        <v>7</v>
      </c>
      <c r="Q31">
        <v>1</v>
      </c>
      <c r="R31">
        <v>5</v>
      </c>
      <c r="S31">
        <v>6</v>
      </c>
    </row>
    <row r="33" spans="3:12" x14ac:dyDescent="0.2">
      <c r="C33" s="9" t="s">
        <v>527</v>
      </c>
      <c r="D33" s="9"/>
      <c r="E33" s="9"/>
      <c r="F33" s="9"/>
      <c r="G33" s="9"/>
      <c r="I33" t="s">
        <v>530</v>
      </c>
      <c r="J33" t="s">
        <v>531</v>
      </c>
      <c r="K33" t="s">
        <v>532</v>
      </c>
      <c r="L33" t="s">
        <v>533</v>
      </c>
    </row>
    <row r="34" spans="3:12" x14ac:dyDescent="0.2">
      <c r="C34" s="9" t="s">
        <v>528</v>
      </c>
      <c r="D34" s="9"/>
      <c r="E34" s="9"/>
      <c r="F34" s="9"/>
      <c r="G34" s="9"/>
    </row>
    <row r="35" spans="3:12" x14ac:dyDescent="0.2">
      <c r="C35" s="9" t="s">
        <v>529</v>
      </c>
      <c r="D35" s="9"/>
      <c r="E35" s="9"/>
      <c r="F35" s="9"/>
      <c r="G35" s="9"/>
    </row>
    <row r="36" spans="3:12" x14ac:dyDescent="0.2">
      <c r="C36" s="9" t="s">
        <v>544</v>
      </c>
      <c r="D36" s="9"/>
      <c r="E36" s="9"/>
      <c r="F36" s="9"/>
      <c r="G36" s="9"/>
    </row>
  </sheetData>
  <mergeCells count="4">
    <mergeCell ref="C33:G33"/>
    <mergeCell ref="C34:G34"/>
    <mergeCell ref="C35:G35"/>
    <mergeCell ref="C36:G36"/>
  </mergeCells>
  <dataValidations count="1">
    <dataValidation type="list" allowBlank="1" showInputMessage="1" showErrorMessage="1" sqref="C11:C31" xr:uid="{9BD48105-F222-E74A-B74A-C5588F3B1B48}">
      <formula1>"Kalimpong - 1, Kalimpong - 2, Gorubathan, Kalimpong Municipality"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B6FE-342C-4B48-9A07-F6EF3497074A}">
  <dimension ref="A1:U37"/>
  <sheetViews>
    <sheetView topLeftCell="A17" zoomScale="125" workbookViewId="0">
      <selection activeCell="K3" sqref="K3"/>
    </sheetView>
  </sheetViews>
  <sheetFormatPr baseColWidth="10" defaultRowHeight="16" x14ac:dyDescent="0.2"/>
  <cols>
    <col min="1" max="1" width="6.5" customWidth="1"/>
    <col min="3" max="3" width="20.6640625" customWidth="1"/>
    <col min="5" max="5" width="13.5" bestFit="1" customWidth="1"/>
    <col min="9" max="10" width="11" bestFit="1" customWidth="1"/>
    <col min="11" max="11" width="11" customWidth="1"/>
    <col min="12" max="17" width="11" bestFit="1" customWidth="1"/>
    <col min="18" max="18" width="18.6640625" customWidth="1"/>
    <col min="19" max="22" width="11" bestFit="1" customWidth="1"/>
  </cols>
  <sheetData>
    <row r="1" spans="1:21" x14ac:dyDescent="0.2">
      <c r="A1" t="s">
        <v>21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536</v>
      </c>
      <c r="L1" t="s">
        <v>8</v>
      </c>
      <c r="M1" s="8" t="s">
        <v>14</v>
      </c>
      <c r="N1" s="8" t="s">
        <v>9</v>
      </c>
      <c r="O1" s="8" t="s">
        <v>10</v>
      </c>
      <c r="P1" s="8" t="s">
        <v>15</v>
      </c>
      <c r="Q1" s="8" t="s">
        <v>16</v>
      </c>
      <c r="R1" s="8" t="s">
        <v>537</v>
      </c>
      <c r="S1" t="s">
        <v>11</v>
      </c>
      <c r="T1" t="s">
        <v>12</v>
      </c>
      <c r="U1" t="s">
        <v>13</v>
      </c>
    </row>
    <row r="2" spans="1:21" x14ac:dyDescent="0.2">
      <c r="A2">
        <v>1</v>
      </c>
      <c r="B2" t="s">
        <v>17</v>
      </c>
      <c r="C2" t="s">
        <v>19</v>
      </c>
      <c r="D2" t="s">
        <v>25</v>
      </c>
      <c r="E2">
        <v>19240101401</v>
      </c>
      <c r="F2" t="s">
        <v>35</v>
      </c>
      <c r="G2" t="s">
        <v>23</v>
      </c>
      <c r="H2" t="s">
        <v>41</v>
      </c>
      <c r="I2">
        <v>31</v>
      </c>
      <c r="J2">
        <v>24</v>
      </c>
      <c r="L2">
        <v>55</v>
      </c>
      <c r="M2" s="8">
        <v>29</v>
      </c>
      <c r="N2" s="8">
        <v>9</v>
      </c>
      <c r="O2" s="8">
        <v>10</v>
      </c>
      <c r="P2" s="8">
        <v>7</v>
      </c>
      <c r="Q2" s="8">
        <v>5</v>
      </c>
      <c r="S2">
        <v>4</v>
      </c>
      <c r="T2">
        <v>10</v>
      </c>
      <c r="U2">
        <v>14</v>
      </c>
    </row>
    <row r="3" spans="1:21" x14ac:dyDescent="0.2">
      <c r="A3">
        <v>2</v>
      </c>
      <c r="B3" t="s">
        <v>17</v>
      </c>
      <c r="C3" t="s">
        <v>20</v>
      </c>
      <c r="D3" t="s">
        <v>26</v>
      </c>
      <c r="E3">
        <v>19240101401</v>
      </c>
      <c r="F3" t="s">
        <v>36</v>
      </c>
      <c r="G3" t="s">
        <v>38</v>
      </c>
      <c r="H3" t="s">
        <v>42</v>
      </c>
      <c r="I3">
        <v>40</v>
      </c>
      <c r="J3">
        <v>22</v>
      </c>
      <c r="L3">
        <v>62</v>
      </c>
      <c r="M3" s="8">
        <v>41</v>
      </c>
      <c r="N3" s="8">
        <v>8</v>
      </c>
      <c r="O3" s="8">
        <v>8</v>
      </c>
      <c r="P3" s="8">
        <v>5</v>
      </c>
      <c r="Q3" s="8">
        <v>5</v>
      </c>
      <c r="S3">
        <v>6</v>
      </c>
      <c r="T3">
        <v>4</v>
      </c>
      <c r="U3">
        <v>10</v>
      </c>
    </row>
    <row r="4" spans="1:21" x14ac:dyDescent="0.2">
      <c r="A4">
        <v>3</v>
      </c>
      <c r="B4" t="s">
        <v>17</v>
      </c>
      <c r="C4" t="s">
        <v>22</v>
      </c>
      <c r="D4" t="s">
        <v>27</v>
      </c>
      <c r="E4">
        <v>19240401504</v>
      </c>
      <c r="F4" t="s">
        <v>36</v>
      </c>
      <c r="G4" t="s">
        <v>39</v>
      </c>
      <c r="H4" t="s">
        <v>41</v>
      </c>
      <c r="I4">
        <v>39</v>
      </c>
      <c r="J4">
        <v>22</v>
      </c>
      <c r="L4">
        <v>61</v>
      </c>
      <c r="M4" s="8">
        <v>37</v>
      </c>
      <c r="N4" s="8">
        <v>7</v>
      </c>
      <c r="O4" s="8">
        <v>7</v>
      </c>
      <c r="P4" s="8">
        <v>10</v>
      </c>
      <c r="Q4" s="8">
        <v>8</v>
      </c>
      <c r="S4">
        <v>5</v>
      </c>
      <c r="T4">
        <v>0</v>
      </c>
      <c r="U4">
        <v>5</v>
      </c>
    </row>
    <row r="5" spans="1:21" x14ac:dyDescent="0.2">
      <c r="A5">
        <v>4</v>
      </c>
      <c r="B5" t="s">
        <v>17</v>
      </c>
      <c r="C5" t="s">
        <v>19</v>
      </c>
      <c r="D5" t="s">
        <v>28</v>
      </c>
      <c r="E5">
        <v>19240301102</v>
      </c>
      <c r="F5" t="s">
        <v>36</v>
      </c>
      <c r="G5" t="s">
        <v>24</v>
      </c>
      <c r="H5" t="s">
        <v>42</v>
      </c>
      <c r="I5">
        <v>36</v>
      </c>
      <c r="J5">
        <v>32</v>
      </c>
      <c r="L5">
        <v>68</v>
      </c>
      <c r="M5" s="8">
        <v>46</v>
      </c>
      <c r="N5" s="8">
        <v>8</v>
      </c>
      <c r="O5" s="8">
        <v>9</v>
      </c>
      <c r="P5" s="8">
        <v>5</v>
      </c>
      <c r="Q5" s="8">
        <v>8</v>
      </c>
      <c r="S5">
        <v>0</v>
      </c>
      <c r="T5">
        <v>1</v>
      </c>
      <c r="U5">
        <v>1</v>
      </c>
    </row>
    <row r="6" spans="1:21" x14ac:dyDescent="0.2">
      <c r="A6">
        <v>5</v>
      </c>
      <c r="B6" t="s">
        <v>17</v>
      </c>
      <c r="C6" t="s">
        <v>20</v>
      </c>
      <c r="D6" t="s">
        <v>29</v>
      </c>
      <c r="E6">
        <v>19240207201</v>
      </c>
      <c r="F6" t="s">
        <v>35</v>
      </c>
      <c r="G6" t="s">
        <v>38</v>
      </c>
      <c r="H6" t="s">
        <v>43</v>
      </c>
      <c r="I6">
        <v>38</v>
      </c>
      <c r="J6">
        <v>21</v>
      </c>
      <c r="L6">
        <v>59</v>
      </c>
      <c r="M6" s="8">
        <v>37</v>
      </c>
      <c r="N6" s="8">
        <v>6</v>
      </c>
      <c r="O6" s="8">
        <v>8</v>
      </c>
      <c r="P6" s="8">
        <v>8</v>
      </c>
      <c r="Q6" s="8">
        <v>7</v>
      </c>
      <c r="S6">
        <v>3</v>
      </c>
      <c r="T6">
        <v>2</v>
      </c>
      <c r="U6">
        <v>5</v>
      </c>
    </row>
    <row r="7" spans="1:21" x14ac:dyDescent="0.2">
      <c r="A7">
        <v>6</v>
      </c>
      <c r="B7" t="s">
        <v>17</v>
      </c>
      <c r="C7" t="s">
        <v>22</v>
      </c>
      <c r="D7" t="s">
        <v>30</v>
      </c>
      <c r="E7">
        <v>19240101101</v>
      </c>
      <c r="F7" t="s">
        <v>36</v>
      </c>
      <c r="G7" t="s">
        <v>39</v>
      </c>
      <c r="H7" t="s">
        <v>42</v>
      </c>
      <c r="I7">
        <v>25</v>
      </c>
      <c r="J7">
        <v>20</v>
      </c>
      <c r="L7">
        <v>45</v>
      </c>
      <c r="M7" s="8">
        <v>17</v>
      </c>
      <c r="N7" s="8">
        <v>10</v>
      </c>
      <c r="O7" s="8">
        <v>10</v>
      </c>
      <c r="P7" s="8">
        <v>8</v>
      </c>
      <c r="Q7" s="8">
        <v>8</v>
      </c>
      <c r="S7">
        <v>7</v>
      </c>
      <c r="T7">
        <v>9</v>
      </c>
      <c r="U7">
        <v>16</v>
      </c>
    </row>
    <row r="8" spans="1:21" x14ac:dyDescent="0.2">
      <c r="A8">
        <v>7</v>
      </c>
      <c r="B8" t="s">
        <v>17</v>
      </c>
      <c r="C8" t="s">
        <v>19</v>
      </c>
      <c r="D8" t="s">
        <v>31</v>
      </c>
      <c r="E8">
        <v>19240100103</v>
      </c>
      <c r="F8" t="s">
        <v>37</v>
      </c>
      <c r="G8" t="s">
        <v>24</v>
      </c>
      <c r="H8" t="s">
        <v>42</v>
      </c>
      <c r="I8">
        <v>26</v>
      </c>
      <c r="J8">
        <v>35</v>
      </c>
      <c r="L8">
        <v>61</v>
      </c>
      <c r="M8" s="8">
        <v>42</v>
      </c>
      <c r="N8" s="8">
        <v>5</v>
      </c>
      <c r="O8" s="8">
        <v>6</v>
      </c>
      <c r="P8" s="8">
        <v>8</v>
      </c>
      <c r="Q8" s="8">
        <v>7</v>
      </c>
      <c r="S8">
        <v>5</v>
      </c>
      <c r="T8">
        <v>2</v>
      </c>
      <c r="U8">
        <v>7</v>
      </c>
    </row>
    <row r="9" spans="1:21" x14ac:dyDescent="0.2">
      <c r="A9">
        <v>8</v>
      </c>
      <c r="B9" t="s">
        <v>17</v>
      </c>
      <c r="C9" t="s">
        <v>20</v>
      </c>
      <c r="D9" t="s">
        <v>32</v>
      </c>
      <c r="E9">
        <v>19240401504</v>
      </c>
      <c r="F9" t="s">
        <v>35</v>
      </c>
      <c r="G9" t="s">
        <v>24</v>
      </c>
      <c r="H9" t="s">
        <v>44</v>
      </c>
      <c r="I9">
        <v>28</v>
      </c>
      <c r="J9">
        <v>40</v>
      </c>
      <c r="L9">
        <v>68</v>
      </c>
      <c r="M9" s="8">
        <v>48</v>
      </c>
      <c r="N9" s="8">
        <v>7</v>
      </c>
      <c r="O9" s="8">
        <v>6</v>
      </c>
      <c r="P9" s="8">
        <v>7</v>
      </c>
      <c r="Q9" s="8">
        <v>7</v>
      </c>
      <c r="S9">
        <v>8</v>
      </c>
      <c r="T9">
        <v>8</v>
      </c>
      <c r="U9">
        <v>16</v>
      </c>
    </row>
    <row r="10" spans="1:21" x14ac:dyDescent="0.2">
      <c r="A10">
        <v>9</v>
      </c>
      <c r="B10" t="s">
        <v>17</v>
      </c>
      <c r="C10" t="s">
        <v>22</v>
      </c>
      <c r="D10" t="s">
        <v>33</v>
      </c>
      <c r="E10">
        <v>19240100901</v>
      </c>
      <c r="F10" t="s">
        <v>37</v>
      </c>
      <c r="G10" t="s">
        <v>23</v>
      </c>
      <c r="H10" t="s">
        <v>43</v>
      </c>
      <c r="I10">
        <v>37</v>
      </c>
      <c r="J10">
        <v>23</v>
      </c>
      <c r="L10">
        <v>60</v>
      </c>
      <c r="M10" s="8">
        <v>36</v>
      </c>
      <c r="N10" s="8">
        <v>9</v>
      </c>
      <c r="O10" s="8">
        <v>8</v>
      </c>
      <c r="P10" s="8">
        <v>7</v>
      </c>
      <c r="Q10" s="8">
        <v>5</v>
      </c>
      <c r="S10">
        <v>0</v>
      </c>
      <c r="T10">
        <v>0</v>
      </c>
      <c r="U10">
        <v>0</v>
      </c>
    </row>
    <row r="11" spans="1:21" x14ac:dyDescent="0.2">
      <c r="A11">
        <v>10</v>
      </c>
      <c r="B11" t="s">
        <v>17</v>
      </c>
      <c r="C11" t="s">
        <v>509</v>
      </c>
      <c r="D11" t="s">
        <v>34</v>
      </c>
      <c r="E11">
        <v>19240102001</v>
      </c>
      <c r="F11" t="s">
        <v>36</v>
      </c>
      <c r="G11" t="s">
        <v>40</v>
      </c>
      <c r="H11" t="s">
        <v>42</v>
      </c>
      <c r="I11">
        <v>26</v>
      </c>
      <c r="J11">
        <v>27</v>
      </c>
      <c r="L11">
        <v>53</v>
      </c>
      <c r="M11" s="8">
        <v>32</v>
      </c>
      <c r="N11" s="8">
        <v>6</v>
      </c>
      <c r="O11" s="8">
        <v>9</v>
      </c>
      <c r="P11" s="8">
        <v>6</v>
      </c>
      <c r="Q11" s="8">
        <v>9</v>
      </c>
      <c r="S11">
        <v>7</v>
      </c>
      <c r="T11">
        <v>9</v>
      </c>
      <c r="U11">
        <v>16</v>
      </c>
    </row>
    <row r="12" spans="1:21" x14ac:dyDescent="0.2">
      <c r="A12">
        <v>11</v>
      </c>
      <c r="B12" t="s">
        <v>17</v>
      </c>
      <c r="C12" t="s">
        <v>22</v>
      </c>
      <c r="D12" t="s">
        <v>45</v>
      </c>
      <c r="E12">
        <v>19240168248.666698</v>
      </c>
      <c r="F12" t="s">
        <v>35</v>
      </c>
      <c r="G12" t="s">
        <v>23</v>
      </c>
      <c r="H12" t="s">
        <v>41</v>
      </c>
      <c r="I12">
        <v>37</v>
      </c>
      <c r="J12">
        <v>32</v>
      </c>
      <c r="L12">
        <v>69</v>
      </c>
      <c r="M12" s="8">
        <v>42</v>
      </c>
      <c r="N12" s="8">
        <v>7</v>
      </c>
      <c r="O12" s="8">
        <v>10</v>
      </c>
      <c r="P12" s="8">
        <v>10</v>
      </c>
      <c r="Q12" s="8">
        <v>5</v>
      </c>
      <c r="S12">
        <v>2</v>
      </c>
      <c r="T12">
        <v>1</v>
      </c>
      <c r="U12">
        <v>3</v>
      </c>
    </row>
    <row r="13" spans="1:21" x14ac:dyDescent="0.2">
      <c r="A13">
        <v>12</v>
      </c>
      <c r="B13" t="s">
        <v>17</v>
      </c>
      <c r="C13" t="s">
        <v>20</v>
      </c>
      <c r="D13" t="s">
        <v>46</v>
      </c>
      <c r="E13">
        <v>19240163962.624199</v>
      </c>
      <c r="F13" t="s">
        <v>36</v>
      </c>
      <c r="G13" t="s">
        <v>38</v>
      </c>
      <c r="H13" t="s">
        <v>42</v>
      </c>
      <c r="I13">
        <v>29</v>
      </c>
      <c r="J13">
        <v>36</v>
      </c>
      <c r="L13">
        <v>65</v>
      </c>
      <c r="M13" s="8">
        <v>43</v>
      </c>
      <c r="N13" s="8">
        <v>10</v>
      </c>
      <c r="O13" s="8">
        <v>5</v>
      </c>
      <c r="P13" s="8">
        <v>7</v>
      </c>
      <c r="Q13" s="8">
        <v>10</v>
      </c>
      <c r="S13">
        <v>7</v>
      </c>
      <c r="T13">
        <v>10</v>
      </c>
      <c r="U13">
        <v>17</v>
      </c>
    </row>
    <row r="14" spans="1:21" x14ac:dyDescent="0.2">
      <c r="A14">
        <v>13</v>
      </c>
      <c r="B14" t="s">
        <v>17</v>
      </c>
      <c r="C14" t="s">
        <v>22</v>
      </c>
      <c r="D14" t="s">
        <v>47</v>
      </c>
      <c r="E14">
        <v>19240159676.581799</v>
      </c>
      <c r="F14" t="s">
        <v>36</v>
      </c>
      <c r="G14" t="s">
        <v>39</v>
      </c>
      <c r="H14" t="s">
        <v>41</v>
      </c>
      <c r="I14">
        <v>23</v>
      </c>
      <c r="J14">
        <v>28</v>
      </c>
      <c r="L14">
        <v>51</v>
      </c>
      <c r="M14" s="8">
        <v>29</v>
      </c>
      <c r="N14" s="8">
        <v>7</v>
      </c>
      <c r="O14" s="8">
        <v>7</v>
      </c>
      <c r="P14" s="8">
        <v>8</v>
      </c>
      <c r="Q14" s="8">
        <v>10</v>
      </c>
      <c r="S14">
        <v>6</v>
      </c>
      <c r="T14">
        <v>6</v>
      </c>
      <c r="U14">
        <v>12</v>
      </c>
    </row>
    <row r="15" spans="1:21" x14ac:dyDescent="0.2">
      <c r="A15">
        <v>14</v>
      </c>
      <c r="B15" t="s">
        <v>17</v>
      </c>
      <c r="C15" t="s">
        <v>19</v>
      </c>
      <c r="D15" t="s">
        <v>48</v>
      </c>
      <c r="E15">
        <v>19240155390.539398</v>
      </c>
      <c r="F15" t="s">
        <v>36</v>
      </c>
      <c r="G15" t="s">
        <v>24</v>
      </c>
      <c r="H15" t="s">
        <v>42</v>
      </c>
      <c r="I15">
        <v>37</v>
      </c>
      <c r="J15">
        <v>23</v>
      </c>
      <c r="L15">
        <v>60</v>
      </c>
      <c r="M15" s="8">
        <v>39</v>
      </c>
      <c r="N15" s="8">
        <v>8</v>
      </c>
      <c r="O15" s="8">
        <v>5</v>
      </c>
      <c r="P15" s="8">
        <v>8</v>
      </c>
      <c r="Q15" s="8">
        <v>10</v>
      </c>
      <c r="S15">
        <v>1</v>
      </c>
      <c r="T15">
        <v>4</v>
      </c>
      <c r="U15">
        <v>5</v>
      </c>
    </row>
    <row r="16" spans="1:21" x14ac:dyDescent="0.2">
      <c r="A16">
        <v>15</v>
      </c>
      <c r="B16" t="s">
        <v>17</v>
      </c>
      <c r="C16" t="s">
        <v>509</v>
      </c>
      <c r="D16" t="s">
        <v>49</v>
      </c>
      <c r="E16">
        <v>19240151104.497002</v>
      </c>
      <c r="F16" t="s">
        <v>35</v>
      </c>
      <c r="G16" t="s">
        <v>38</v>
      </c>
      <c r="H16" t="s">
        <v>43</v>
      </c>
      <c r="I16">
        <v>39</v>
      </c>
      <c r="J16">
        <v>20</v>
      </c>
      <c r="L16">
        <v>59</v>
      </c>
      <c r="M16" s="8">
        <v>39</v>
      </c>
      <c r="N16" s="8">
        <v>8</v>
      </c>
      <c r="O16" s="8">
        <v>5</v>
      </c>
      <c r="P16" s="8">
        <v>7</v>
      </c>
      <c r="Q16" s="8">
        <v>6</v>
      </c>
      <c r="S16">
        <v>5</v>
      </c>
      <c r="T16">
        <v>4</v>
      </c>
      <c r="U16">
        <v>9</v>
      </c>
    </row>
    <row r="17" spans="1:21" x14ac:dyDescent="0.2">
      <c r="A17">
        <v>16</v>
      </c>
      <c r="B17" t="s">
        <v>17</v>
      </c>
      <c r="C17" t="s">
        <v>22</v>
      </c>
      <c r="D17" t="s">
        <v>50</v>
      </c>
      <c r="E17">
        <v>19240146818.454498</v>
      </c>
      <c r="F17" t="s">
        <v>36</v>
      </c>
      <c r="G17" t="s">
        <v>39</v>
      </c>
      <c r="H17" t="s">
        <v>42</v>
      </c>
      <c r="I17">
        <v>21</v>
      </c>
      <c r="J17">
        <v>24</v>
      </c>
      <c r="L17">
        <v>45</v>
      </c>
      <c r="M17" s="8">
        <v>20</v>
      </c>
      <c r="N17" s="8">
        <v>7</v>
      </c>
      <c r="O17" s="8">
        <v>10</v>
      </c>
      <c r="P17" s="8">
        <v>8</v>
      </c>
      <c r="Q17" s="8">
        <v>5</v>
      </c>
      <c r="S17">
        <v>9</v>
      </c>
      <c r="T17">
        <v>5</v>
      </c>
      <c r="U17">
        <v>14</v>
      </c>
    </row>
    <row r="18" spans="1:21" x14ac:dyDescent="0.2">
      <c r="A18">
        <v>17</v>
      </c>
      <c r="B18" t="s">
        <v>17</v>
      </c>
      <c r="C18" t="s">
        <v>20</v>
      </c>
      <c r="D18" t="s">
        <v>51</v>
      </c>
      <c r="E18">
        <v>19240142532.412102</v>
      </c>
      <c r="F18" t="s">
        <v>37</v>
      </c>
      <c r="G18" t="s">
        <v>24</v>
      </c>
      <c r="H18" t="s">
        <v>42</v>
      </c>
      <c r="I18">
        <v>30</v>
      </c>
      <c r="J18">
        <v>21</v>
      </c>
      <c r="L18">
        <v>51</v>
      </c>
      <c r="M18" s="8">
        <v>30</v>
      </c>
      <c r="N18" s="8">
        <v>5</v>
      </c>
      <c r="O18" s="8">
        <v>6</v>
      </c>
      <c r="P18" s="8">
        <v>10</v>
      </c>
      <c r="Q18" s="8">
        <v>10</v>
      </c>
      <c r="S18">
        <v>6</v>
      </c>
      <c r="T18">
        <v>1</v>
      </c>
      <c r="U18">
        <v>7</v>
      </c>
    </row>
    <row r="19" spans="1:21" x14ac:dyDescent="0.2">
      <c r="A19">
        <v>18</v>
      </c>
      <c r="B19" t="s">
        <v>17</v>
      </c>
      <c r="C19" t="s">
        <v>19</v>
      </c>
      <c r="D19" t="s">
        <v>52</v>
      </c>
      <c r="E19">
        <v>19240138246.369701</v>
      </c>
      <c r="F19" t="s">
        <v>35</v>
      </c>
      <c r="G19" t="s">
        <v>24</v>
      </c>
      <c r="H19" t="s">
        <v>44</v>
      </c>
      <c r="I19">
        <v>30</v>
      </c>
      <c r="J19">
        <v>39</v>
      </c>
      <c r="L19">
        <v>69</v>
      </c>
      <c r="M19" s="8">
        <v>46</v>
      </c>
      <c r="N19" s="8">
        <v>10</v>
      </c>
      <c r="O19" s="8">
        <v>7</v>
      </c>
      <c r="P19" s="8">
        <v>6</v>
      </c>
      <c r="Q19" s="8">
        <v>9</v>
      </c>
      <c r="S19">
        <v>3</v>
      </c>
      <c r="T19">
        <v>10</v>
      </c>
      <c r="U19">
        <v>13</v>
      </c>
    </row>
    <row r="20" spans="1:21" x14ac:dyDescent="0.2">
      <c r="A20">
        <v>19</v>
      </c>
      <c r="B20" t="s">
        <v>17</v>
      </c>
      <c r="C20" t="s">
        <v>20</v>
      </c>
      <c r="D20" t="s">
        <v>53</v>
      </c>
      <c r="E20">
        <v>19240133960.327301</v>
      </c>
      <c r="F20" t="s">
        <v>37</v>
      </c>
      <c r="G20" t="s">
        <v>23</v>
      </c>
      <c r="H20" t="s">
        <v>43</v>
      </c>
      <c r="I20">
        <v>30</v>
      </c>
      <c r="J20">
        <v>34</v>
      </c>
      <c r="L20">
        <v>64</v>
      </c>
      <c r="M20" s="8">
        <v>44</v>
      </c>
      <c r="N20" s="8">
        <v>5</v>
      </c>
      <c r="O20" s="8">
        <v>5</v>
      </c>
      <c r="P20" s="8">
        <v>10</v>
      </c>
      <c r="Q20" s="8">
        <v>9</v>
      </c>
      <c r="S20">
        <v>3</v>
      </c>
      <c r="T20">
        <v>7</v>
      </c>
      <c r="U20">
        <v>10</v>
      </c>
    </row>
    <row r="21" spans="1:21" x14ac:dyDescent="0.2">
      <c r="A21">
        <v>20</v>
      </c>
      <c r="B21" t="s">
        <v>17</v>
      </c>
      <c r="C21" t="s">
        <v>509</v>
      </c>
      <c r="D21" t="s">
        <v>54</v>
      </c>
      <c r="E21">
        <v>19240129674.284901</v>
      </c>
      <c r="F21" t="s">
        <v>36</v>
      </c>
      <c r="G21" t="s">
        <v>40</v>
      </c>
      <c r="H21" t="s">
        <v>42</v>
      </c>
      <c r="I21">
        <v>35</v>
      </c>
      <c r="J21">
        <v>20</v>
      </c>
      <c r="L21">
        <v>55</v>
      </c>
      <c r="M21" s="8">
        <v>34</v>
      </c>
      <c r="N21" s="8">
        <v>5</v>
      </c>
      <c r="O21" s="8">
        <v>10</v>
      </c>
      <c r="P21" s="8">
        <v>6</v>
      </c>
      <c r="Q21" s="8">
        <v>8</v>
      </c>
      <c r="S21">
        <v>9</v>
      </c>
      <c r="T21">
        <v>6</v>
      </c>
      <c r="U21">
        <v>15</v>
      </c>
    </row>
    <row r="22" spans="1:21" x14ac:dyDescent="0.2">
      <c r="A22">
        <v>21</v>
      </c>
      <c r="B22" t="s">
        <v>17</v>
      </c>
      <c r="C22" t="s">
        <v>22</v>
      </c>
      <c r="D22" t="s">
        <v>55</v>
      </c>
      <c r="E22">
        <v>19240125388.242401</v>
      </c>
      <c r="F22" t="s">
        <v>35</v>
      </c>
      <c r="G22" t="s">
        <v>23</v>
      </c>
      <c r="H22" t="s">
        <v>41</v>
      </c>
      <c r="I22">
        <v>25</v>
      </c>
      <c r="J22">
        <v>38</v>
      </c>
      <c r="L22">
        <v>63</v>
      </c>
      <c r="M22" s="8">
        <v>39</v>
      </c>
      <c r="N22" s="8">
        <v>9</v>
      </c>
      <c r="O22" s="8">
        <v>9</v>
      </c>
      <c r="P22" s="8">
        <v>6</v>
      </c>
      <c r="Q22" s="8">
        <v>8</v>
      </c>
      <c r="S22">
        <v>6</v>
      </c>
      <c r="T22">
        <v>5</v>
      </c>
      <c r="U22">
        <v>11</v>
      </c>
    </row>
    <row r="23" spans="1:21" x14ac:dyDescent="0.2">
      <c r="A23">
        <v>22</v>
      </c>
      <c r="B23" t="s">
        <v>17</v>
      </c>
      <c r="C23" t="s">
        <v>20</v>
      </c>
      <c r="D23" t="s">
        <v>56</v>
      </c>
      <c r="E23">
        <v>19240121102.200001</v>
      </c>
      <c r="F23" t="s">
        <v>36</v>
      </c>
      <c r="G23" t="s">
        <v>38</v>
      </c>
      <c r="H23" t="s">
        <v>42</v>
      </c>
      <c r="I23">
        <v>36</v>
      </c>
      <c r="J23">
        <v>32</v>
      </c>
      <c r="L23">
        <v>68</v>
      </c>
      <c r="M23" s="8">
        <v>45</v>
      </c>
      <c r="N23" s="8">
        <v>10</v>
      </c>
      <c r="O23" s="8">
        <v>8</v>
      </c>
      <c r="P23" s="8">
        <v>5</v>
      </c>
      <c r="Q23" s="8">
        <v>10</v>
      </c>
      <c r="S23">
        <v>4</v>
      </c>
      <c r="T23">
        <v>2</v>
      </c>
      <c r="U23">
        <v>6</v>
      </c>
    </row>
    <row r="24" spans="1:21" x14ac:dyDescent="0.2">
      <c r="A24">
        <v>23</v>
      </c>
      <c r="B24" t="s">
        <v>17</v>
      </c>
      <c r="C24" t="s">
        <v>22</v>
      </c>
      <c r="D24" t="s">
        <v>57</v>
      </c>
      <c r="E24">
        <v>19240116816.1576</v>
      </c>
      <c r="F24" t="s">
        <v>36</v>
      </c>
      <c r="G24" t="s">
        <v>39</v>
      </c>
      <c r="H24" t="s">
        <v>41</v>
      </c>
      <c r="I24">
        <v>20</v>
      </c>
      <c r="J24">
        <v>35</v>
      </c>
      <c r="L24">
        <v>55</v>
      </c>
      <c r="M24" s="8">
        <v>38</v>
      </c>
      <c r="N24" s="8">
        <v>5</v>
      </c>
      <c r="O24" s="8">
        <v>5</v>
      </c>
      <c r="P24" s="8">
        <v>7</v>
      </c>
      <c r="Q24" s="8">
        <v>8</v>
      </c>
      <c r="S24">
        <v>2</v>
      </c>
      <c r="T24">
        <v>0</v>
      </c>
      <c r="U24">
        <v>2</v>
      </c>
    </row>
    <row r="25" spans="1:21" x14ac:dyDescent="0.2">
      <c r="A25">
        <v>24</v>
      </c>
      <c r="B25" t="s">
        <v>17</v>
      </c>
      <c r="C25" t="s">
        <v>19</v>
      </c>
      <c r="D25" t="s">
        <v>58</v>
      </c>
      <c r="E25">
        <v>19240112530.1152</v>
      </c>
      <c r="F25" t="s">
        <v>36</v>
      </c>
      <c r="G25" t="s">
        <v>24</v>
      </c>
      <c r="H25" t="s">
        <v>42</v>
      </c>
      <c r="I25">
        <v>27</v>
      </c>
      <c r="J25">
        <v>29</v>
      </c>
      <c r="L25">
        <v>56</v>
      </c>
      <c r="M25" s="8">
        <v>31</v>
      </c>
      <c r="N25" s="8">
        <v>6</v>
      </c>
      <c r="O25" s="8">
        <v>9</v>
      </c>
      <c r="P25" s="8">
        <v>10</v>
      </c>
      <c r="Q25" s="8">
        <v>10</v>
      </c>
      <c r="S25">
        <v>8</v>
      </c>
      <c r="T25">
        <v>8</v>
      </c>
      <c r="U25">
        <v>16</v>
      </c>
    </row>
    <row r="26" spans="1:21" x14ac:dyDescent="0.2">
      <c r="A26">
        <v>25</v>
      </c>
      <c r="B26" t="s">
        <v>17</v>
      </c>
      <c r="C26" t="s">
        <v>509</v>
      </c>
      <c r="D26" t="s">
        <v>59</v>
      </c>
      <c r="E26">
        <v>19240108244.072701</v>
      </c>
      <c r="F26" t="s">
        <v>35</v>
      </c>
      <c r="G26" t="s">
        <v>38</v>
      </c>
      <c r="H26" t="s">
        <v>43</v>
      </c>
      <c r="I26">
        <v>23</v>
      </c>
      <c r="J26">
        <v>35</v>
      </c>
      <c r="L26">
        <v>58</v>
      </c>
      <c r="M26" s="8">
        <v>36</v>
      </c>
      <c r="N26" s="8">
        <v>5</v>
      </c>
      <c r="O26" s="8">
        <v>8</v>
      </c>
      <c r="P26" s="8">
        <v>9</v>
      </c>
      <c r="Q26" s="8">
        <v>8</v>
      </c>
      <c r="S26">
        <v>5</v>
      </c>
      <c r="T26">
        <v>6</v>
      </c>
      <c r="U26">
        <v>11</v>
      </c>
    </row>
    <row r="27" spans="1:21" x14ac:dyDescent="0.2">
      <c r="A27">
        <v>26</v>
      </c>
      <c r="B27" t="s">
        <v>17</v>
      </c>
      <c r="C27" t="s">
        <v>22</v>
      </c>
      <c r="D27" t="s">
        <v>60</v>
      </c>
      <c r="E27">
        <v>19240103958.0303</v>
      </c>
      <c r="F27" t="s">
        <v>36</v>
      </c>
      <c r="G27" t="s">
        <v>39</v>
      </c>
      <c r="H27" t="s">
        <v>42</v>
      </c>
      <c r="I27">
        <v>40</v>
      </c>
      <c r="J27">
        <v>22</v>
      </c>
      <c r="L27">
        <v>62</v>
      </c>
      <c r="M27" s="8">
        <v>36</v>
      </c>
      <c r="N27" s="8">
        <v>10</v>
      </c>
      <c r="O27" s="8">
        <v>6</v>
      </c>
      <c r="P27" s="8">
        <v>10</v>
      </c>
      <c r="Q27" s="8">
        <v>10</v>
      </c>
      <c r="S27">
        <v>8</v>
      </c>
      <c r="T27">
        <v>6</v>
      </c>
      <c r="U27">
        <v>14</v>
      </c>
    </row>
    <row r="28" spans="1:21" x14ac:dyDescent="0.2">
      <c r="A28">
        <v>27</v>
      </c>
      <c r="B28" t="s">
        <v>17</v>
      </c>
      <c r="C28" t="s">
        <v>20</v>
      </c>
      <c r="D28" t="s">
        <v>61</v>
      </c>
      <c r="E28">
        <v>19240099671.9879</v>
      </c>
      <c r="F28" t="s">
        <v>37</v>
      </c>
      <c r="G28" t="s">
        <v>24</v>
      </c>
      <c r="H28" t="s">
        <v>42</v>
      </c>
      <c r="I28">
        <v>30</v>
      </c>
      <c r="J28">
        <v>20</v>
      </c>
      <c r="L28">
        <v>50</v>
      </c>
      <c r="M28" s="8">
        <v>27</v>
      </c>
      <c r="N28" s="8">
        <v>7</v>
      </c>
      <c r="O28" s="8">
        <v>7</v>
      </c>
      <c r="P28" s="8">
        <v>9</v>
      </c>
      <c r="Q28" s="8">
        <v>9</v>
      </c>
      <c r="S28">
        <v>2</v>
      </c>
      <c r="T28">
        <v>9</v>
      </c>
      <c r="U28">
        <v>11</v>
      </c>
    </row>
    <row r="29" spans="1:21" x14ac:dyDescent="0.2">
      <c r="A29">
        <v>28</v>
      </c>
      <c r="B29" t="s">
        <v>17</v>
      </c>
      <c r="C29" t="s">
        <v>19</v>
      </c>
      <c r="D29" t="s">
        <v>62</v>
      </c>
      <c r="E29">
        <v>19240095385.945499</v>
      </c>
      <c r="F29" t="s">
        <v>35</v>
      </c>
      <c r="G29" t="s">
        <v>24</v>
      </c>
      <c r="H29" t="s">
        <v>44</v>
      </c>
      <c r="I29">
        <v>37</v>
      </c>
      <c r="J29">
        <v>36</v>
      </c>
      <c r="L29">
        <v>73</v>
      </c>
      <c r="M29" s="8">
        <v>54</v>
      </c>
      <c r="N29" s="8">
        <v>6</v>
      </c>
      <c r="O29" s="8">
        <v>7</v>
      </c>
      <c r="P29" s="8">
        <v>6</v>
      </c>
      <c r="Q29" s="8">
        <v>6</v>
      </c>
      <c r="S29">
        <v>3</v>
      </c>
      <c r="T29">
        <v>8</v>
      </c>
      <c r="U29">
        <v>11</v>
      </c>
    </row>
    <row r="30" spans="1:21" x14ac:dyDescent="0.2">
      <c r="A30">
        <v>29</v>
      </c>
      <c r="B30" t="s">
        <v>17</v>
      </c>
      <c r="C30" t="s">
        <v>20</v>
      </c>
      <c r="D30" t="s">
        <v>63</v>
      </c>
      <c r="E30">
        <v>19240091099.903</v>
      </c>
      <c r="F30" t="s">
        <v>37</v>
      </c>
      <c r="G30" t="s">
        <v>23</v>
      </c>
      <c r="H30" t="s">
        <v>43</v>
      </c>
      <c r="I30">
        <v>31</v>
      </c>
      <c r="J30">
        <v>23</v>
      </c>
      <c r="L30">
        <v>54</v>
      </c>
      <c r="M30" s="8">
        <v>32</v>
      </c>
      <c r="N30" s="8">
        <v>6</v>
      </c>
      <c r="O30" s="8">
        <v>6</v>
      </c>
      <c r="P30" s="8">
        <v>10</v>
      </c>
      <c r="Q30" s="8">
        <v>8</v>
      </c>
      <c r="S30">
        <v>8</v>
      </c>
      <c r="T30">
        <v>0</v>
      </c>
      <c r="U30">
        <v>8</v>
      </c>
    </row>
    <row r="31" spans="1:21" x14ac:dyDescent="0.2">
      <c r="A31">
        <v>30</v>
      </c>
      <c r="B31" t="s">
        <v>17</v>
      </c>
      <c r="C31" t="s">
        <v>22</v>
      </c>
      <c r="D31" t="s">
        <v>64</v>
      </c>
      <c r="E31">
        <v>19240086813.8606</v>
      </c>
      <c r="F31" t="s">
        <v>36</v>
      </c>
      <c r="G31" t="s">
        <v>40</v>
      </c>
      <c r="H31" t="s">
        <v>42</v>
      </c>
      <c r="I31">
        <v>21</v>
      </c>
      <c r="J31">
        <v>22</v>
      </c>
      <c r="L31">
        <v>43</v>
      </c>
      <c r="M31" s="8">
        <v>21</v>
      </c>
      <c r="N31" s="8">
        <v>6</v>
      </c>
      <c r="O31" s="8">
        <v>10</v>
      </c>
      <c r="P31" s="8">
        <v>6</v>
      </c>
      <c r="Q31" s="8">
        <v>7</v>
      </c>
      <c r="S31">
        <v>1</v>
      </c>
      <c r="T31">
        <v>5</v>
      </c>
      <c r="U31">
        <v>6</v>
      </c>
    </row>
    <row r="33" spans="3:12" x14ac:dyDescent="0.2">
      <c r="C33" s="12" t="s">
        <v>534</v>
      </c>
      <c r="D33" s="12"/>
      <c r="E33" s="12"/>
      <c r="F33" s="12"/>
      <c r="G33" s="12"/>
      <c r="H33" s="12"/>
      <c r="I33" s="5" t="s">
        <v>535</v>
      </c>
      <c r="L33" s="6"/>
    </row>
    <row r="34" spans="3:12" ht="17" customHeight="1" x14ac:dyDescent="0.2">
      <c r="C34" s="10" t="s">
        <v>524</v>
      </c>
      <c r="D34" s="10"/>
      <c r="E34" s="10"/>
      <c r="F34" s="10"/>
      <c r="G34" s="10"/>
      <c r="H34" s="10"/>
      <c r="I34" s="7" t="s">
        <v>505</v>
      </c>
      <c r="J34" s="6"/>
      <c r="K34" s="6"/>
      <c r="L34" s="6"/>
    </row>
    <row r="35" spans="3:12" ht="17" x14ac:dyDescent="0.2">
      <c r="C35" s="11" t="s">
        <v>525</v>
      </c>
      <c r="D35" s="11"/>
      <c r="E35" s="11"/>
      <c r="F35" s="11"/>
      <c r="G35" s="11"/>
      <c r="H35" s="11"/>
      <c r="I35" s="7" t="s">
        <v>506</v>
      </c>
      <c r="J35" s="6"/>
      <c r="K35" s="6"/>
      <c r="L35" s="6"/>
    </row>
    <row r="36" spans="3:12" ht="35" customHeight="1" x14ac:dyDescent="0.2">
      <c r="C36" s="11" t="s">
        <v>538</v>
      </c>
      <c r="D36" s="11"/>
      <c r="E36" s="11"/>
      <c r="F36" s="11"/>
      <c r="G36" s="11"/>
      <c r="H36" s="11"/>
      <c r="I36" s="7" t="s">
        <v>522</v>
      </c>
      <c r="J36" s="6"/>
      <c r="K36" s="6"/>
      <c r="L36" s="6"/>
    </row>
    <row r="37" spans="3:12" ht="17" x14ac:dyDescent="0.2">
      <c r="C37" s="11" t="s">
        <v>526</v>
      </c>
      <c r="D37" s="11"/>
      <c r="E37" s="11"/>
      <c r="F37" s="11"/>
      <c r="G37" s="11"/>
      <c r="H37" s="11"/>
      <c r="I37" s="7" t="s">
        <v>523</v>
      </c>
      <c r="J37" s="6"/>
      <c r="K37" s="6"/>
    </row>
  </sheetData>
  <mergeCells count="5">
    <mergeCell ref="C34:H34"/>
    <mergeCell ref="C35:H35"/>
    <mergeCell ref="C36:H36"/>
    <mergeCell ref="C37:H37"/>
    <mergeCell ref="C33:H33"/>
  </mergeCells>
  <phoneticPr fontId="2" type="noConversion"/>
  <conditionalFormatting sqref="J2:J31">
    <cfRule type="expression" dxfId="2" priority="4">
      <formula>$J2&gt;$I2</formula>
    </cfRule>
  </conditionalFormatting>
  <conditionalFormatting sqref="L2:L3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{FFB1D4D0-BED3-FD42-95A2-92F33923BA63}</x14:id>
        </ext>
      </extLst>
    </cfRule>
  </conditionalFormatting>
  <conditionalFormatting sqref="S2:U31">
    <cfRule type="cellIs" dxfId="1" priority="2" operator="equal">
      <formula>0</formula>
    </cfRule>
  </conditionalFormatting>
  <conditionalFormatting sqref="R2:R31">
    <cfRule type="containsText" dxfId="0" priority="1" operator="containsText" text="Yes">
      <formula>NOT(ISERROR(SEARCH("Yes",R2)))</formula>
    </cfRule>
  </conditionalFormatting>
  <dataValidations count="1">
    <dataValidation type="list" allowBlank="1" showInputMessage="1" showErrorMessage="1" sqref="C11:C31" xr:uid="{9A057712-80A0-354C-9422-72894B856CF0}">
      <formula1>"Kalimpong - 1, Kalimpong - 2, Gorubathan, Kalimpong Municipality"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B1D4D0-BED3-FD42-95A2-92F33923BA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3C10-2E1F-9B44-A736-7AD8468E2292}">
  <dimension ref="A3:B7"/>
  <sheetViews>
    <sheetView zoomScale="150" workbookViewId="0">
      <selection activeCell="A9" sqref="A9:E24"/>
    </sheetView>
  </sheetViews>
  <sheetFormatPr baseColWidth="10" defaultRowHeight="16" x14ac:dyDescent="0.2"/>
  <cols>
    <col min="1" max="1" width="26" customWidth="1"/>
    <col min="2" max="2" width="20.83203125" bestFit="1" customWidth="1"/>
    <col min="3" max="3" width="20.6640625" bestFit="1" customWidth="1"/>
    <col min="4" max="4" width="18.33203125" bestFit="1" customWidth="1"/>
  </cols>
  <sheetData>
    <row r="3" spans="1:2" x14ac:dyDescent="0.2">
      <c r="A3" s="1" t="s">
        <v>507</v>
      </c>
      <c r="B3" t="s">
        <v>511</v>
      </c>
    </row>
    <row r="4" spans="1:2" x14ac:dyDescent="0.2">
      <c r="A4" s="2" t="s">
        <v>36</v>
      </c>
      <c r="B4" s="4">
        <v>235</v>
      </c>
    </row>
    <row r="5" spans="1:2" x14ac:dyDescent="0.2">
      <c r="A5" s="2" t="s">
        <v>35</v>
      </c>
      <c r="B5" s="4">
        <v>141</v>
      </c>
    </row>
    <row r="6" spans="1:2" x14ac:dyDescent="0.2">
      <c r="A6" s="2" t="s">
        <v>37</v>
      </c>
      <c r="B6" s="4">
        <v>94</v>
      </c>
    </row>
    <row r="7" spans="1:2" x14ac:dyDescent="0.2">
      <c r="A7" s="2" t="s">
        <v>508</v>
      </c>
      <c r="B7" s="4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044F-AAAA-7546-9DF2-DF1DABADD2FD}">
  <dimension ref="A1:H11"/>
  <sheetViews>
    <sheetView zoomScale="164" workbookViewId="0">
      <selection activeCell="G2" sqref="G2:H11"/>
    </sheetView>
  </sheetViews>
  <sheetFormatPr baseColWidth="10" defaultRowHeight="16" x14ac:dyDescent="0.2"/>
  <cols>
    <col min="1" max="1" width="6" bestFit="1" customWidth="1"/>
    <col min="2" max="2" width="10" bestFit="1" customWidth="1"/>
    <col min="3" max="3" width="11.33203125" bestFit="1" customWidth="1"/>
    <col min="4" max="4" width="12" bestFit="1" customWidth="1"/>
    <col min="5" max="5" width="12.1640625" bestFit="1" customWidth="1"/>
    <col min="6" max="6" width="22.6640625" bestFit="1" customWidth="1"/>
    <col min="7" max="7" width="14.83203125" bestFit="1" customWidth="1"/>
    <col min="8" max="8" width="17.6640625" bestFit="1" customWidth="1"/>
  </cols>
  <sheetData>
    <row r="1" spans="1:8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521</v>
      </c>
    </row>
    <row r="2" spans="1:8" x14ac:dyDescent="0.2">
      <c r="A2">
        <v>1</v>
      </c>
      <c r="B2" t="s">
        <v>17</v>
      </c>
      <c r="C2" t="s">
        <v>22</v>
      </c>
      <c r="D2" t="s">
        <v>34</v>
      </c>
      <c r="E2">
        <v>19240100103</v>
      </c>
      <c r="F2" t="str">
        <f>VLOOKUP(E2,'Enrolment Data'!E:F,2,FALSE)</f>
        <v>Department of Education</v>
      </c>
    </row>
    <row r="3" spans="1:8" x14ac:dyDescent="0.2">
      <c r="A3">
        <v>2</v>
      </c>
      <c r="B3" t="s">
        <v>17</v>
      </c>
      <c r="C3" t="s">
        <v>22</v>
      </c>
      <c r="D3" t="s">
        <v>151</v>
      </c>
      <c r="E3">
        <v>19240100101</v>
      </c>
      <c r="F3" t="str">
        <f>VLOOKUP(E3,'Enrolment Data'!E:F,2,FALSE)</f>
        <v>Madrasa Recognized</v>
      </c>
    </row>
    <row r="4" spans="1:8" x14ac:dyDescent="0.2">
      <c r="A4">
        <v>3</v>
      </c>
      <c r="B4" t="s">
        <v>17</v>
      </c>
      <c r="C4" t="s">
        <v>22</v>
      </c>
      <c r="D4" t="s">
        <v>54</v>
      </c>
      <c r="E4">
        <v>19240100502</v>
      </c>
      <c r="F4" t="str">
        <f>VLOOKUP(E4,'Enrolment Data'!E:F,2,FALSE)</f>
        <v>Department of Education</v>
      </c>
    </row>
    <row r="5" spans="1:8" x14ac:dyDescent="0.2">
      <c r="A5">
        <v>4</v>
      </c>
      <c r="B5" t="s">
        <v>17</v>
      </c>
      <c r="C5" t="s">
        <v>22</v>
      </c>
      <c r="D5" t="s">
        <v>65</v>
      </c>
      <c r="E5">
        <v>19240100701</v>
      </c>
      <c r="F5" t="str">
        <f>VLOOKUP(E5,'Enrolment Data'!E:F,2,FALSE)</f>
        <v>Government Sponsored</v>
      </c>
    </row>
    <row r="6" spans="1:8" x14ac:dyDescent="0.2">
      <c r="A6">
        <v>5</v>
      </c>
      <c r="B6" t="s">
        <v>17</v>
      </c>
      <c r="C6" t="s">
        <v>22</v>
      </c>
      <c r="D6" t="s">
        <v>90</v>
      </c>
      <c r="E6">
        <v>19240100102</v>
      </c>
      <c r="F6" t="str">
        <f>VLOOKUP(E6,'Enrolment Data'!E:F,2,FALSE)</f>
        <v>Department of Education</v>
      </c>
    </row>
    <row r="7" spans="1:8" x14ac:dyDescent="0.2">
      <c r="A7">
        <v>6</v>
      </c>
      <c r="B7" t="s">
        <v>17</v>
      </c>
      <c r="C7" t="s">
        <v>22</v>
      </c>
      <c r="D7" t="s">
        <v>108</v>
      </c>
      <c r="E7">
        <v>19240100301</v>
      </c>
      <c r="F7" t="str">
        <f>VLOOKUP(E7,'Enrolment Data'!E:F,2,FALSE)</f>
        <v>Department of Education</v>
      </c>
    </row>
    <row r="8" spans="1:8" x14ac:dyDescent="0.2">
      <c r="A8">
        <v>7</v>
      </c>
      <c r="B8" t="s">
        <v>17</v>
      </c>
      <c r="C8" t="s">
        <v>22</v>
      </c>
      <c r="D8" t="s">
        <v>116</v>
      </c>
      <c r="E8">
        <v>19240100601</v>
      </c>
      <c r="F8" t="str">
        <f>VLOOKUP(E8,'Enrolment Data'!E:F,2,FALSE)</f>
        <v>Department of Education</v>
      </c>
    </row>
    <row r="9" spans="1:8" x14ac:dyDescent="0.2">
      <c r="A9">
        <v>8</v>
      </c>
      <c r="B9" t="s">
        <v>17</v>
      </c>
      <c r="C9" t="s">
        <v>22</v>
      </c>
      <c r="D9" t="s">
        <v>123</v>
      </c>
      <c r="E9">
        <v>19240100401</v>
      </c>
      <c r="F9" t="str">
        <f>VLOOKUP(E9,'Enrolment Data'!E:F,2,FALSE)</f>
        <v>Madrasa Recognized</v>
      </c>
    </row>
    <row r="10" spans="1:8" x14ac:dyDescent="0.2">
      <c r="A10">
        <v>9</v>
      </c>
      <c r="B10" t="s">
        <v>17</v>
      </c>
      <c r="C10" t="s">
        <v>22</v>
      </c>
      <c r="D10" t="s">
        <v>33</v>
      </c>
      <c r="E10">
        <v>19240100201</v>
      </c>
      <c r="F10" t="str">
        <f>VLOOKUP(E10,'Enrolment Data'!E:F,2,FALSE)</f>
        <v>Madrasa Recognized</v>
      </c>
    </row>
    <row r="11" spans="1:8" x14ac:dyDescent="0.2">
      <c r="A11">
        <v>10</v>
      </c>
      <c r="B11" t="s">
        <v>17</v>
      </c>
      <c r="C11" t="s">
        <v>22</v>
      </c>
      <c r="D11" t="s">
        <v>124</v>
      </c>
      <c r="E11">
        <v>19240100501</v>
      </c>
      <c r="F11" t="str">
        <f>VLOOKUP(E11,'Enrolment Data'!E:F,2,FALSE)</f>
        <v>Department of Education</v>
      </c>
    </row>
  </sheetData>
  <dataValidations count="3">
    <dataValidation type="list" allowBlank="1" showInputMessage="1" showErrorMessage="1" sqref="B12:B471" xr:uid="{28F913E9-7224-A044-9A54-16B42DBB5430}">
      <formula1>"Kalimpong"</formula1>
    </dataValidation>
    <dataValidation type="list" allowBlank="1" showInputMessage="1" showErrorMessage="1" sqref="F12:F471" xr:uid="{C26DD04A-6375-A945-91EF-FAC7B77D9EA8}">
      <formula1>"Department of Education, Government Sponsored, Madrasa Recognized"</formula1>
    </dataValidation>
    <dataValidation type="list" allowBlank="1" showInputMessage="1" showErrorMessage="1" sqref="C12:C471" xr:uid="{45EF1313-6F76-B049-B8C4-464987C18DB4}">
      <formula1>"Kalimpong-I, Kalimpong-II, Gorubathan, Kalimpong Municipality"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CEF4-177D-2E42-BB07-B1D91A035903}">
  <dimension ref="A1:J21"/>
  <sheetViews>
    <sheetView zoomScale="139" workbookViewId="0">
      <selection activeCell="E1" sqref="E1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15" customWidth="1"/>
    <col min="4" max="4" width="12" bestFit="1" customWidth="1"/>
    <col min="5" max="5" width="16.6640625" customWidth="1"/>
    <col min="6" max="6" width="7.33203125" customWidth="1"/>
    <col min="7" max="7" width="9" customWidth="1"/>
    <col min="8" max="8" width="4" customWidth="1"/>
    <col min="9" max="9" width="9.83203125" customWidth="1"/>
    <col min="10" max="10" width="38" bestFit="1" customWidth="1"/>
  </cols>
  <sheetData>
    <row r="1" spans="1:10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541</v>
      </c>
      <c r="G1" s="3" t="s">
        <v>540</v>
      </c>
      <c r="H1" s="3"/>
    </row>
    <row r="2" spans="1:10" x14ac:dyDescent="0.2">
      <c r="A2">
        <v>1</v>
      </c>
      <c r="B2" t="s">
        <v>17</v>
      </c>
      <c r="E2">
        <v>19240100103</v>
      </c>
      <c r="F2">
        <f>MATCH(E2,'Enrolment Data'!E:E,0)</f>
        <v>11</v>
      </c>
      <c r="G2" t="str">
        <f>INDEX('Enrolment Data'!D:D,'INDEX MATCH'!F2)</f>
        <v>School 10</v>
      </c>
      <c r="I2" t="s">
        <v>540</v>
      </c>
      <c r="J2" t="s">
        <v>543</v>
      </c>
    </row>
    <row r="3" spans="1:10" x14ac:dyDescent="0.2">
      <c r="A3">
        <v>2</v>
      </c>
      <c r="B3" t="s">
        <v>17</v>
      </c>
      <c r="E3">
        <v>19240100101</v>
      </c>
      <c r="I3" t="s">
        <v>541</v>
      </c>
      <c r="J3" t="s">
        <v>542</v>
      </c>
    </row>
    <row r="4" spans="1:10" x14ac:dyDescent="0.2">
      <c r="A4">
        <v>3</v>
      </c>
      <c r="B4" t="s">
        <v>17</v>
      </c>
      <c r="E4">
        <v>19240100502</v>
      </c>
    </row>
    <row r="5" spans="1:10" x14ac:dyDescent="0.2">
      <c r="A5">
        <v>4</v>
      </c>
      <c r="B5" t="s">
        <v>17</v>
      </c>
      <c r="E5">
        <v>19240100701</v>
      </c>
    </row>
    <row r="6" spans="1:10" x14ac:dyDescent="0.2">
      <c r="A6">
        <v>5</v>
      </c>
      <c r="B6" t="s">
        <v>17</v>
      </c>
      <c r="E6">
        <v>19240100102</v>
      </c>
    </row>
    <row r="7" spans="1:10" x14ac:dyDescent="0.2">
      <c r="A7">
        <v>6</v>
      </c>
      <c r="B7" t="s">
        <v>17</v>
      </c>
      <c r="E7">
        <v>19240100301</v>
      </c>
    </row>
    <row r="8" spans="1:10" x14ac:dyDescent="0.2">
      <c r="A8">
        <v>7</v>
      </c>
      <c r="B8" t="s">
        <v>17</v>
      </c>
      <c r="E8">
        <v>19240100601</v>
      </c>
    </row>
    <row r="9" spans="1:10" x14ac:dyDescent="0.2">
      <c r="A9">
        <v>8</v>
      </c>
      <c r="B9" t="s">
        <v>17</v>
      </c>
      <c r="E9">
        <v>19240100401</v>
      </c>
    </row>
    <row r="10" spans="1:10" x14ac:dyDescent="0.2">
      <c r="A10">
        <v>9</v>
      </c>
      <c r="B10" t="s">
        <v>17</v>
      </c>
      <c r="E10">
        <v>19240100201</v>
      </c>
    </row>
    <row r="11" spans="1:10" x14ac:dyDescent="0.2">
      <c r="A11">
        <v>10</v>
      </c>
      <c r="B11" t="s">
        <v>17</v>
      </c>
      <c r="E11">
        <v>19240100501</v>
      </c>
    </row>
    <row r="12" spans="1:10" x14ac:dyDescent="0.2">
      <c r="A12">
        <v>11</v>
      </c>
      <c r="B12" t="s">
        <v>17</v>
      </c>
      <c r="D12" t="s">
        <v>50</v>
      </c>
    </row>
    <row r="13" spans="1:10" x14ac:dyDescent="0.2">
      <c r="A13">
        <v>12</v>
      </c>
      <c r="B13" t="s">
        <v>17</v>
      </c>
      <c r="D13" t="s">
        <v>159</v>
      </c>
    </row>
    <row r="14" spans="1:10" x14ac:dyDescent="0.2">
      <c r="A14">
        <v>13</v>
      </c>
      <c r="B14" t="s">
        <v>17</v>
      </c>
      <c r="D14" t="s">
        <v>60</v>
      </c>
    </row>
    <row r="15" spans="1:10" x14ac:dyDescent="0.2">
      <c r="A15">
        <v>14</v>
      </c>
      <c r="B15" t="s">
        <v>17</v>
      </c>
      <c r="D15" t="s">
        <v>71</v>
      </c>
    </row>
    <row r="16" spans="1:10" x14ac:dyDescent="0.2">
      <c r="A16">
        <v>15</v>
      </c>
      <c r="B16" t="s">
        <v>17</v>
      </c>
      <c r="D16" t="s">
        <v>93</v>
      </c>
    </row>
    <row r="17" spans="1:4" x14ac:dyDescent="0.2">
      <c r="A17">
        <v>16</v>
      </c>
      <c r="B17" t="s">
        <v>17</v>
      </c>
      <c r="D17" t="s">
        <v>107</v>
      </c>
    </row>
    <row r="18" spans="1:4" x14ac:dyDescent="0.2">
      <c r="A18">
        <v>17</v>
      </c>
      <c r="B18" t="s">
        <v>17</v>
      </c>
      <c r="D18" t="s">
        <v>128</v>
      </c>
    </row>
    <row r="19" spans="1:4" x14ac:dyDescent="0.2">
      <c r="A19">
        <v>18</v>
      </c>
      <c r="B19" t="s">
        <v>17</v>
      </c>
      <c r="D19" t="s">
        <v>323</v>
      </c>
    </row>
    <row r="20" spans="1:4" x14ac:dyDescent="0.2">
      <c r="A20">
        <v>19</v>
      </c>
      <c r="B20" t="s">
        <v>17</v>
      </c>
      <c r="D20" t="s">
        <v>445</v>
      </c>
    </row>
    <row r="21" spans="1:4" x14ac:dyDescent="0.2">
      <c r="A21">
        <v>20</v>
      </c>
      <c r="B21" t="s">
        <v>17</v>
      </c>
      <c r="D21" t="s">
        <v>128</v>
      </c>
    </row>
  </sheetData>
  <dataValidations disablePrompts="1" count="3">
    <dataValidation type="list" allowBlank="1" showInputMessage="1" showErrorMessage="1" sqref="C22:C471" xr:uid="{D740BF35-8C03-9A45-B0CE-ECB5AAADFD3A}">
      <formula1>"Kalimpong-I, Kalimpong-II, Gorubathan, Kalimpong Municipality"</formula1>
    </dataValidation>
    <dataValidation type="list" allowBlank="1" showInputMessage="1" showErrorMessage="1" sqref="H12:H471" xr:uid="{194B884E-62E0-D547-9D1F-9862EC3DBBFA}">
      <formula1>"Department of Education, Government Sponsored, Madrasa Recognized"</formula1>
    </dataValidation>
    <dataValidation type="list" allowBlank="1" showInputMessage="1" showErrorMessage="1" sqref="B22:B471" xr:uid="{210571CE-A4CC-E94D-B415-E00808419FB6}">
      <formula1>"Kalimpong"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1277-6511-BB4E-8684-7D142DDE9C82}">
  <dimension ref="A1:T471"/>
  <sheetViews>
    <sheetView topLeftCell="B1" zoomScale="75" zoomScaleNormal="90" workbookViewId="0">
      <selection activeCell="I1" sqref="I1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20.5" bestFit="1" customWidth="1"/>
    <col min="4" max="4" width="12" bestFit="1" customWidth="1"/>
    <col min="5" max="5" width="17.83203125" customWidth="1"/>
    <col min="6" max="6" width="22" bestFit="1" customWidth="1"/>
    <col min="7" max="7" width="12" bestFit="1" customWidth="1"/>
    <col min="8" max="8" width="11.6640625" bestFit="1" customWidth="1"/>
    <col min="9" max="10" width="14" bestFit="1" customWidth="1"/>
    <col min="11" max="11" width="14.33203125" bestFit="1" customWidth="1"/>
    <col min="12" max="12" width="7.6640625" bestFit="1" customWidth="1"/>
    <col min="13" max="13" width="4.5" customWidth="1"/>
    <col min="14" max="14" width="6" customWidth="1"/>
    <col min="15" max="16" width="6.5" bestFit="1" customWidth="1"/>
    <col min="17" max="17" width="13.1640625" bestFit="1" customWidth="1"/>
    <col min="18" max="18" width="15.1640625" bestFit="1" customWidth="1"/>
    <col min="19" max="19" width="13.1640625" bestFit="1" customWidth="1"/>
    <col min="20" max="20" width="14.1640625" bestFit="1" customWidth="1"/>
  </cols>
  <sheetData>
    <row r="1" spans="1:20" x14ac:dyDescent="0.2">
      <c r="A1" t="s">
        <v>21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9</v>
      </c>
      <c r="N1" t="s">
        <v>10</v>
      </c>
      <c r="O1" t="s">
        <v>15</v>
      </c>
      <c r="P1" t="s">
        <v>16</v>
      </c>
      <c r="Q1" t="s">
        <v>11</v>
      </c>
      <c r="R1" t="s">
        <v>12</v>
      </c>
      <c r="S1" t="s">
        <v>13</v>
      </c>
      <c r="T1" t="s">
        <v>539</v>
      </c>
    </row>
    <row r="2" spans="1:20" x14ac:dyDescent="0.2">
      <c r="A2">
        <v>1</v>
      </c>
      <c r="B2" t="s">
        <v>17</v>
      </c>
      <c r="C2" t="s">
        <v>22</v>
      </c>
      <c r="D2" t="s">
        <v>25</v>
      </c>
      <c r="E2">
        <v>19240106801</v>
      </c>
      <c r="F2" t="s">
        <v>35</v>
      </c>
      <c r="G2" t="s">
        <v>23</v>
      </c>
      <c r="H2" t="s">
        <v>41</v>
      </c>
      <c r="I2">
        <v>38</v>
      </c>
      <c r="J2">
        <v>37</v>
      </c>
      <c r="K2">
        <v>75</v>
      </c>
      <c r="L2">
        <v>53</v>
      </c>
      <c r="M2">
        <v>8</v>
      </c>
      <c r="N2">
        <v>5</v>
      </c>
      <c r="O2">
        <v>9</v>
      </c>
      <c r="P2">
        <v>10</v>
      </c>
      <c r="Q2">
        <v>10</v>
      </c>
      <c r="R2">
        <v>5</v>
      </c>
      <c r="S2">
        <v>15</v>
      </c>
      <c r="T2">
        <f t="shared" ref="T2:T40" si="0">IF(SUM(M2:P2) &gt; L2, 1, 0)</f>
        <v>0</v>
      </c>
    </row>
    <row r="3" spans="1:20" x14ac:dyDescent="0.2">
      <c r="A3">
        <v>2</v>
      </c>
      <c r="B3" t="s">
        <v>17</v>
      </c>
      <c r="C3" t="s">
        <v>22</v>
      </c>
      <c r="D3" t="s">
        <v>26</v>
      </c>
      <c r="E3">
        <v>19240106301</v>
      </c>
      <c r="F3" t="s">
        <v>36</v>
      </c>
      <c r="G3" t="s">
        <v>38</v>
      </c>
      <c r="H3" t="s">
        <v>42</v>
      </c>
      <c r="I3">
        <v>31</v>
      </c>
      <c r="J3">
        <v>24</v>
      </c>
      <c r="K3">
        <v>55</v>
      </c>
      <c r="L3">
        <v>26</v>
      </c>
      <c r="M3">
        <v>9</v>
      </c>
      <c r="N3">
        <v>10</v>
      </c>
      <c r="O3">
        <v>10</v>
      </c>
      <c r="P3">
        <v>10</v>
      </c>
      <c r="Q3">
        <v>2</v>
      </c>
      <c r="R3">
        <v>6</v>
      </c>
      <c r="S3">
        <v>8</v>
      </c>
      <c r="T3">
        <f t="shared" si="0"/>
        <v>1</v>
      </c>
    </row>
    <row r="4" spans="1:20" x14ac:dyDescent="0.2">
      <c r="A4">
        <v>3</v>
      </c>
      <c r="B4" t="s">
        <v>17</v>
      </c>
      <c r="C4" t="s">
        <v>22</v>
      </c>
      <c r="D4" t="s">
        <v>27</v>
      </c>
      <c r="E4">
        <v>19240106304</v>
      </c>
      <c r="F4" t="s">
        <v>36</v>
      </c>
      <c r="G4" t="s">
        <v>39</v>
      </c>
      <c r="H4" t="s">
        <v>41</v>
      </c>
      <c r="I4">
        <v>25</v>
      </c>
      <c r="J4">
        <v>26</v>
      </c>
      <c r="K4">
        <v>51</v>
      </c>
      <c r="L4">
        <v>30</v>
      </c>
      <c r="M4">
        <v>9</v>
      </c>
      <c r="N4">
        <v>5</v>
      </c>
      <c r="O4">
        <v>7</v>
      </c>
      <c r="P4">
        <v>7</v>
      </c>
      <c r="Q4">
        <v>3</v>
      </c>
      <c r="R4">
        <v>9</v>
      </c>
      <c r="S4">
        <v>12</v>
      </c>
      <c r="T4">
        <f t="shared" si="0"/>
        <v>0</v>
      </c>
    </row>
    <row r="5" spans="1:20" x14ac:dyDescent="0.2">
      <c r="A5">
        <v>4</v>
      </c>
      <c r="B5" t="s">
        <v>17</v>
      </c>
      <c r="C5" t="s">
        <v>22</v>
      </c>
      <c r="D5" t="s">
        <v>28</v>
      </c>
      <c r="E5">
        <v>19240105901</v>
      </c>
      <c r="F5" t="s">
        <v>36</v>
      </c>
      <c r="G5" t="s">
        <v>24</v>
      </c>
      <c r="H5" t="s">
        <v>42</v>
      </c>
      <c r="I5">
        <v>28</v>
      </c>
      <c r="J5">
        <v>36</v>
      </c>
      <c r="K5">
        <v>64</v>
      </c>
      <c r="L5">
        <v>46</v>
      </c>
      <c r="M5">
        <v>8</v>
      </c>
      <c r="N5">
        <v>5</v>
      </c>
      <c r="O5">
        <v>5</v>
      </c>
      <c r="P5">
        <v>7</v>
      </c>
      <c r="Q5">
        <v>6</v>
      </c>
      <c r="R5">
        <v>4</v>
      </c>
      <c r="S5">
        <v>10</v>
      </c>
      <c r="T5">
        <f t="shared" si="0"/>
        <v>0</v>
      </c>
    </row>
    <row r="6" spans="1:20" x14ac:dyDescent="0.2">
      <c r="A6">
        <v>5</v>
      </c>
      <c r="B6" t="s">
        <v>17</v>
      </c>
      <c r="C6" t="s">
        <v>22</v>
      </c>
      <c r="D6" t="s">
        <v>29</v>
      </c>
      <c r="E6">
        <v>19240105801</v>
      </c>
      <c r="F6" t="s">
        <v>35</v>
      </c>
      <c r="G6" t="s">
        <v>38</v>
      </c>
      <c r="H6" t="s">
        <v>43</v>
      </c>
      <c r="I6">
        <v>25</v>
      </c>
      <c r="J6">
        <v>36</v>
      </c>
      <c r="K6">
        <v>61</v>
      </c>
      <c r="L6">
        <v>35</v>
      </c>
      <c r="M6">
        <v>9</v>
      </c>
      <c r="N6">
        <v>7</v>
      </c>
      <c r="O6">
        <v>10</v>
      </c>
      <c r="P6">
        <v>5</v>
      </c>
      <c r="Q6">
        <v>7</v>
      </c>
      <c r="R6">
        <v>10</v>
      </c>
      <c r="S6">
        <v>17</v>
      </c>
      <c r="T6">
        <f t="shared" si="0"/>
        <v>0</v>
      </c>
    </row>
    <row r="7" spans="1:20" x14ac:dyDescent="0.2">
      <c r="A7">
        <v>6</v>
      </c>
      <c r="B7" t="s">
        <v>17</v>
      </c>
      <c r="C7" t="s">
        <v>22</v>
      </c>
      <c r="D7" t="s">
        <v>30</v>
      </c>
      <c r="E7">
        <v>19240105502</v>
      </c>
      <c r="F7" t="s">
        <v>36</v>
      </c>
      <c r="G7" t="s">
        <v>39</v>
      </c>
      <c r="H7" t="s">
        <v>42</v>
      </c>
      <c r="I7">
        <v>37</v>
      </c>
      <c r="J7">
        <v>34</v>
      </c>
      <c r="K7">
        <v>71</v>
      </c>
      <c r="L7">
        <v>49</v>
      </c>
      <c r="M7">
        <v>7</v>
      </c>
      <c r="N7">
        <v>8</v>
      </c>
      <c r="O7">
        <v>7</v>
      </c>
      <c r="P7">
        <v>8</v>
      </c>
      <c r="Q7">
        <v>3</v>
      </c>
      <c r="R7">
        <v>5</v>
      </c>
      <c r="S7">
        <v>8</v>
      </c>
      <c r="T7">
        <f t="shared" si="0"/>
        <v>0</v>
      </c>
    </row>
    <row r="8" spans="1:20" x14ac:dyDescent="0.2">
      <c r="A8">
        <v>7</v>
      </c>
      <c r="B8" t="s">
        <v>17</v>
      </c>
      <c r="C8" t="s">
        <v>22</v>
      </c>
      <c r="D8" t="s">
        <v>31</v>
      </c>
      <c r="E8">
        <v>19240104802</v>
      </c>
      <c r="F8" t="s">
        <v>37</v>
      </c>
      <c r="G8" t="s">
        <v>24</v>
      </c>
      <c r="H8" t="s">
        <v>42</v>
      </c>
      <c r="I8">
        <v>34</v>
      </c>
      <c r="J8">
        <v>22</v>
      </c>
      <c r="K8">
        <v>56</v>
      </c>
      <c r="L8">
        <v>38</v>
      </c>
      <c r="M8">
        <v>5</v>
      </c>
      <c r="N8">
        <v>7</v>
      </c>
      <c r="O8">
        <v>6</v>
      </c>
      <c r="P8">
        <v>5</v>
      </c>
      <c r="Q8">
        <v>5</v>
      </c>
      <c r="R8">
        <v>8</v>
      </c>
      <c r="S8">
        <v>13</v>
      </c>
      <c r="T8">
        <f t="shared" si="0"/>
        <v>0</v>
      </c>
    </row>
    <row r="9" spans="1:20" x14ac:dyDescent="0.2">
      <c r="A9">
        <v>8</v>
      </c>
      <c r="B9" t="s">
        <v>17</v>
      </c>
      <c r="C9" t="s">
        <v>22</v>
      </c>
      <c r="D9" t="s">
        <v>32</v>
      </c>
      <c r="E9">
        <v>19240107103</v>
      </c>
      <c r="F9" t="s">
        <v>35</v>
      </c>
      <c r="G9" t="s">
        <v>24</v>
      </c>
      <c r="H9" t="s">
        <v>44</v>
      </c>
      <c r="I9">
        <v>40</v>
      </c>
      <c r="J9">
        <v>33</v>
      </c>
      <c r="K9">
        <v>73</v>
      </c>
      <c r="L9">
        <v>52</v>
      </c>
      <c r="M9">
        <v>7</v>
      </c>
      <c r="N9">
        <v>5</v>
      </c>
      <c r="O9">
        <v>9</v>
      </c>
      <c r="P9">
        <v>7</v>
      </c>
      <c r="Q9">
        <v>9</v>
      </c>
      <c r="R9">
        <v>6</v>
      </c>
      <c r="S9">
        <v>15</v>
      </c>
      <c r="T9">
        <f t="shared" si="0"/>
        <v>0</v>
      </c>
    </row>
    <row r="10" spans="1:20" x14ac:dyDescent="0.2">
      <c r="A10">
        <v>9</v>
      </c>
      <c r="B10" t="s">
        <v>17</v>
      </c>
      <c r="C10" t="s">
        <v>22</v>
      </c>
      <c r="D10" t="s">
        <v>33</v>
      </c>
      <c r="E10">
        <v>19240100201</v>
      </c>
      <c r="F10" t="s">
        <v>37</v>
      </c>
      <c r="G10" t="s">
        <v>23</v>
      </c>
      <c r="H10" t="s">
        <v>43</v>
      </c>
      <c r="I10">
        <v>24</v>
      </c>
      <c r="J10">
        <v>34</v>
      </c>
      <c r="K10">
        <v>58</v>
      </c>
      <c r="L10">
        <v>34</v>
      </c>
      <c r="M10">
        <v>10</v>
      </c>
      <c r="N10">
        <v>6</v>
      </c>
      <c r="O10">
        <v>8</v>
      </c>
      <c r="P10">
        <v>9</v>
      </c>
      <c r="Q10">
        <v>1</v>
      </c>
      <c r="R10">
        <v>8</v>
      </c>
      <c r="S10">
        <v>9</v>
      </c>
      <c r="T10">
        <f t="shared" si="0"/>
        <v>0</v>
      </c>
    </row>
    <row r="11" spans="1:20" x14ac:dyDescent="0.2">
      <c r="A11">
        <v>10</v>
      </c>
      <c r="B11" t="s">
        <v>17</v>
      </c>
      <c r="C11" t="s">
        <v>22</v>
      </c>
      <c r="D11" t="s">
        <v>34</v>
      </c>
      <c r="E11">
        <v>19240100103</v>
      </c>
      <c r="F11" t="s">
        <v>36</v>
      </c>
      <c r="G11" t="s">
        <v>40</v>
      </c>
      <c r="H11" t="s">
        <v>42</v>
      </c>
      <c r="I11">
        <v>36</v>
      </c>
      <c r="J11">
        <v>28</v>
      </c>
      <c r="K11">
        <v>64</v>
      </c>
      <c r="L11">
        <v>39</v>
      </c>
      <c r="M11">
        <v>9</v>
      </c>
      <c r="N11">
        <v>9</v>
      </c>
      <c r="O11">
        <v>7</v>
      </c>
      <c r="P11">
        <v>5</v>
      </c>
      <c r="Q11">
        <v>7</v>
      </c>
      <c r="R11">
        <v>0</v>
      </c>
      <c r="S11">
        <v>7</v>
      </c>
      <c r="T11">
        <f t="shared" si="0"/>
        <v>0</v>
      </c>
    </row>
    <row r="12" spans="1:20" x14ac:dyDescent="0.2">
      <c r="A12">
        <v>11</v>
      </c>
      <c r="B12" t="s">
        <v>17</v>
      </c>
      <c r="C12" t="s">
        <v>509</v>
      </c>
      <c r="D12" t="s">
        <v>45</v>
      </c>
      <c r="E12">
        <v>19240401504</v>
      </c>
      <c r="F12" t="s">
        <v>35</v>
      </c>
      <c r="G12" t="s">
        <v>23</v>
      </c>
      <c r="H12" t="s">
        <v>41</v>
      </c>
      <c r="I12">
        <v>27</v>
      </c>
      <c r="J12">
        <v>28</v>
      </c>
      <c r="K12">
        <v>55</v>
      </c>
      <c r="L12">
        <v>35</v>
      </c>
      <c r="M12">
        <v>8</v>
      </c>
      <c r="N12">
        <v>6</v>
      </c>
      <c r="O12">
        <v>6</v>
      </c>
      <c r="P12">
        <v>6</v>
      </c>
      <c r="Q12">
        <v>5</v>
      </c>
      <c r="R12">
        <v>9</v>
      </c>
      <c r="S12">
        <v>14</v>
      </c>
      <c r="T12">
        <f t="shared" si="0"/>
        <v>0</v>
      </c>
    </row>
    <row r="13" spans="1:20" x14ac:dyDescent="0.2">
      <c r="A13">
        <v>12</v>
      </c>
      <c r="B13" t="s">
        <v>17</v>
      </c>
      <c r="C13" t="s">
        <v>22</v>
      </c>
      <c r="D13" t="s">
        <v>46</v>
      </c>
      <c r="E13">
        <v>19240100901</v>
      </c>
      <c r="F13" t="s">
        <v>36</v>
      </c>
      <c r="G13" t="s">
        <v>38</v>
      </c>
      <c r="H13" t="s">
        <v>42</v>
      </c>
      <c r="I13">
        <v>25</v>
      </c>
      <c r="J13">
        <v>35</v>
      </c>
      <c r="K13">
        <v>60</v>
      </c>
      <c r="L13">
        <v>33</v>
      </c>
      <c r="M13">
        <v>8</v>
      </c>
      <c r="N13">
        <v>10</v>
      </c>
      <c r="O13">
        <v>9</v>
      </c>
      <c r="P13">
        <v>10</v>
      </c>
      <c r="Q13">
        <v>3</v>
      </c>
      <c r="R13">
        <v>6</v>
      </c>
      <c r="S13">
        <v>9</v>
      </c>
      <c r="T13">
        <f t="shared" si="0"/>
        <v>1</v>
      </c>
    </row>
    <row r="14" spans="1:20" x14ac:dyDescent="0.2">
      <c r="A14">
        <v>13</v>
      </c>
      <c r="B14" t="s">
        <v>17</v>
      </c>
      <c r="C14" t="s">
        <v>22</v>
      </c>
      <c r="D14" t="s">
        <v>47</v>
      </c>
      <c r="E14">
        <v>19240102001</v>
      </c>
      <c r="F14" t="s">
        <v>36</v>
      </c>
      <c r="G14" t="s">
        <v>39</v>
      </c>
      <c r="H14" t="s">
        <v>41</v>
      </c>
      <c r="I14">
        <v>28</v>
      </c>
      <c r="J14">
        <v>22</v>
      </c>
      <c r="K14">
        <v>50</v>
      </c>
      <c r="L14">
        <v>26</v>
      </c>
      <c r="M14">
        <v>9</v>
      </c>
      <c r="N14">
        <v>9</v>
      </c>
      <c r="O14">
        <v>6</v>
      </c>
      <c r="P14">
        <v>9</v>
      </c>
      <c r="Q14">
        <v>8</v>
      </c>
      <c r="R14">
        <v>10</v>
      </c>
      <c r="S14">
        <v>18</v>
      </c>
      <c r="T14">
        <f t="shared" si="0"/>
        <v>1</v>
      </c>
    </row>
    <row r="15" spans="1:20" x14ac:dyDescent="0.2">
      <c r="A15">
        <v>14</v>
      </c>
      <c r="B15" t="s">
        <v>17</v>
      </c>
      <c r="C15" t="s">
        <v>22</v>
      </c>
      <c r="D15" t="s">
        <v>48</v>
      </c>
      <c r="E15">
        <v>19240102401</v>
      </c>
      <c r="F15" t="s">
        <v>36</v>
      </c>
      <c r="G15" t="s">
        <v>24</v>
      </c>
      <c r="H15" t="s">
        <v>42</v>
      </c>
      <c r="I15">
        <v>27</v>
      </c>
      <c r="J15">
        <v>28</v>
      </c>
      <c r="K15">
        <v>55</v>
      </c>
      <c r="L15">
        <v>33</v>
      </c>
      <c r="M15">
        <v>5</v>
      </c>
      <c r="N15">
        <v>10</v>
      </c>
      <c r="O15">
        <v>7</v>
      </c>
      <c r="P15">
        <v>10</v>
      </c>
      <c r="Q15">
        <v>2</v>
      </c>
      <c r="R15">
        <v>7</v>
      </c>
      <c r="S15">
        <v>9</v>
      </c>
      <c r="T15">
        <f t="shared" si="0"/>
        <v>0</v>
      </c>
    </row>
    <row r="16" spans="1:20" x14ac:dyDescent="0.2">
      <c r="A16">
        <v>15</v>
      </c>
      <c r="B16" t="s">
        <v>17</v>
      </c>
      <c r="C16" t="s">
        <v>22</v>
      </c>
      <c r="D16" t="s">
        <v>49</v>
      </c>
      <c r="E16">
        <v>19240105201</v>
      </c>
      <c r="F16" t="s">
        <v>35</v>
      </c>
      <c r="G16" t="s">
        <v>38</v>
      </c>
      <c r="H16" t="s">
        <v>43</v>
      </c>
      <c r="I16">
        <v>31</v>
      </c>
      <c r="J16">
        <v>28</v>
      </c>
      <c r="K16">
        <v>59</v>
      </c>
      <c r="L16">
        <v>41</v>
      </c>
      <c r="M16">
        <v>6</v>
      </c>
      <c r="N16">
        <v>7</v>
      </c>
      <c r="O16">
        <v>5</v>
      </c>
      <c r="P16">
        <v>9</v>
      </c>
      <c r="Q16">
        <v>6</v>
      </c>
      <c r="R16">
        <v>6</v>
      </c>
      <c r="S16">
        <v>12</v>
      </c>
      <c r="T16">
        <f t="shared" si="0"/>
        <v>0</v>
      </c>
    </row>
    <row r="17" spans="1:20" x14ac:dyDescent="0.2">
      <c r="A17">
        <v>16</v>
      </c>
      <c r="B17" t="s">
        <v>17</v>
      </c>
      <c r="C17" t="s">
        <v>22</v>
      </c>
      <c r="D17" t="s">
        <v>50</v>
      </c>
      <c r="E17">
        <v>19240105601</v>
      </c>
      <c r="F17" t="s">
        <v>36</v>
      </c>
      <c r="G17" t="s">
        <v>39</v>
      </c>
      <c r="H17" t="s">
        <v>42</v>
      </c>
      <c r="I17">
        <v>23</v>
      </c>
      <c r="J17">
        <v>37</v>
      </c>
      <c r="K17">
        <v>60</v>
      </c>
      <c r="L17">
        <v>41</v>
      </c>
      <c r="M17">
        <v>5</v>
      </c>
      <c r="N17">
        <v>6</v>
      </c>
      <c r="O17">
        <v>8</v>
      </c>
      <c r="P17">
        <v>9</v>
      </c>
      <c r="Q17">
        <v>0</v>
      </c>
      <c r="R17">
        <v>2</v>
      </c>
      <c r="S17">
        <v>2</v>
      </c>
      <c r="T17">
        <f t="shared" si="0"/>
        <v>0</v>
      </c>
    </row>
    <row r="18" spans="1:20" x14ac:dyDescent="0.2">
      <c r="A18">
        <v>17</v>
      </c>
      <c r="B18" t="s">
        <v>17</v>
      </c>
      <c r="C18" t="s">
        <v>22</v>
      </c>
      <c r="D18" t="s">
        <v>51</v>
      </c>
      <c r="E18">
        <v>19240101402</v>
      </c>
      <c r="F18" t="s">
        <v>37</v>
      </c>
      <c r="G18" t="s">
        <v>24</v>
      </c>
      <c r="H18" t="s">
        <v>42</v>
      </c>
      <c r="I18">
        <v>30</v>
      </c>
      <c r="J18">
        <v>35</v>
      </c>
      <c r="K18">
        <v>65</v>
      </c>
      <c r="L18">
        <v>42</v>
      </c>
      <c r="M18">
        <v>5</v>
      </c>
      <c r="N18">
        <v>8</v>
      </c>
      <c r="O18">
        <v>10</v>
      </c>
      <c r="P18">
        <v>6</v>
      </c>
      <c r="Q18">
        <v>5</v>
      </c>
      <c r="R18">
        <v>2</v>
      </c>
      <c r="S18">
        <v>7</v>
      </c>
      <c r="T18">
        <f t="shared" si="0"/>
        <v>0</v>
      </c>
    </row>
    <row r="19" spans="1:20" x14ac:dyDescent="0.2">
      <c r="A19">
        <v>18</v>
      </c>
      <c r="B19" t="s">
        <v>17</v>
      </c>
      <c r="C19" t="s">
        <v>22</v>
      </c>
      <c r="D19" t="s">
        <v>52</v>
      </c>
      <c r="E19">
        <v>19240105701</v>
      </c>
      <c r="F19" t="s">
        <v>35</v>
      </c>
      <c r="G19" t="s">
        <v>24</v>
      </c>
      <c r="H19" t="s">
        <v>44</v>
      </c>
      <c r="I19">
        <v>29</v>
      </c>
      <c r="J19">
        <v>24</v>
      </c>
      <c r="K19">
        <v>53</v>
      </c>
      <c r="L19">
        <v>33</v>
      </c>
      <c r="M19">
        <v>8</v>
      </c>
      <c r="N19">
        <v>6</v>
      </c>
      <c r="O19">
        <v>6</v>
      </c>
      <c r="P19">
        <v>7</v>
      </c>
      <c r="Q19">
        <v>0</v>
      </c>
      <c r="R19">
        <v>10</v>
      </c>
      <c r="S19">
        <v>10</v>
      </c>
      <c r="T19">
        <f t="shared" si="0"/>
        <v>0</v>
      </c>
    </row>
    <row r="20" spans="1:20" x14ac:dyDescent="0.2">
      <c r="A20">
        <v>19</v>
      </c>
      <c r="B20" t="s">
        <v>17</v>
      </c>
      <c r="C20" t="s">
        <v>22</v>
      </c>
      <c r="D20" t="s">
        <v>53</v>
      </c>
      <c r="E20">
        <v>19240104601</v>
      </c>
      <c r="F20" t="s">
        <v>37</v>
      </c>
      <c r="G20" t="s">
        <v>23</v>
      </c>
      <c r="H20" t="s">
        <v>43</v>
      </c>
      <c r="I20">
        <v>32</v>
      </c>
      <c r="J20">
        <v>38</v>
      </c>
      <c r="K20">
        <v>70</v>
      </c>
      <c r="L20">
        <v>41</v>
      </c>
      <c r="M20">
        <v>10</v>
      </c>
      <c r="N20">
        <v>9</v>
      </c>
      <c r="O20">
        <v>10</v>
      </c>
      <c r="P20">
        <v>6</v>
      </c>
      <c r="Q20">
        <v>1</v>
      </c>
      <c r="R20">
        <v>1</v>
      </c>
      <c r="S20">
        <v>2</v>
      </c>
      <c r="T20">
        <f t="shared" si="0"/>
        <v>0</v>
      </c>
    </row>
    <row r="21" spans="1:20" x14ac:dyDescent="0.2">
      <c r="A21">
        <v>20</v>
      </c>
      <c r="B21" t="s">
        <v>17</v>
      </c>
      <c r="C21" t="s">
        <v>22</v>
      </c>
      <c r="D21" t="s">
        <v>54</v>
      </c>
      <c r="E21">
        <v>19240100502</v>
      </c>
      <c r="F21" t="s">
        <v>36</v>
      </c>
      <c r="G21" t="s">
        <v>40</v>
      </c>
      <c r="H21" t="s">
        <v>42</v>
      </c>
      <c r="I21">
        <v>33</v>
      </c>
      <c r="J21">
        <v>29</v>
      </c>
      <c r="K21">
        <v>62</v>
      </c>
      <c r="L21">
        <v>40</v>
      </c>
      <c r="M21">
        <v>6</v>
      </c>
      <c r="N21">
        <v>7</v>
      </c>
      <c r="O21">
        <v>9</v>
      </c>
      <c r="P21">
        <v>10</v>
      </c>
      <c r="Q21">
        <v>0</v>
      </c>
      <c r="R21">
        <v>3</v>
      </c>
      <c r="S21">
        <v>3</v>
      </c>
      <c r="T21">
        <f t="shared" si="0"/>
        <v>0</v>
      </c>
    </row>
    <row r="22" spans="1:20" x14ac:dyDescent="0.2">
      <c r="A22">
        <v>21</v>
      </c>
      <c r="B22" t="s">
        <v>17</v>
      </c>
      <c r="C22" t="s">
        <v>22</v>
      </c>
      <c r="D22" t="s">
        <v>55</v>
      </c>
      <c r="E22">
        <v>19240102302</v>
      </c>
      <c r="F22" t="s">
        <v>35</v>
      </c>
      <c r="G22" t="s">
        <v>23</v>
      </c>
      <c r="H22" t="s">
        <v>41</v>
      </c>
      <c r="I22">
        <v>22</v>
      </c>
      <c r="J22">
        <v>40</v>
      </c>
      <c r="K22">
        <v>62</v>
      </c>
      <c r="L22">
        <v>40</v>
      </c>
      <c r="M22">
        <v>9</v>
      </c>
      <c r="N22">
        <v>6</v>
      </c>
      <c r="O22">
        <v>7</v>
      </c>
      <c r="P22">
        <v>6</v>
      </c>
      <c r="Q22">
        <v>0</v>
      </c>
      <c r="R22">
        <v>3</v>
      </c>
      <c r="S22">
        <v>3</v>
      </c>
      <c r="T22">
        <f t="shared" si="0"/>
        <v>0</v>
      </c>
    </row>
    <row r="23" spans="1:20" x14ac:dyDescent="0.2">
      <c r="A23">
        <v>22</v>
      </c>
      <c r="B23" t="s">
        <v>17</v>
      </c>
      <c r="C23" t="s">
        <v>22</v>
      </c>
      <c r="D23" t="s">
        <v>56</v>
      </c>
      <c r="E23">
        <v>19240103302</v>
      </c>
      <c r="F23" t="s">
        <v>36</v>
      </c>
      <c r="G23" t="s">
        <v>38</v>
      </c>
      <c r="H23" t="s">
        <v>42</v>
      </c>
      <c r="I23">
        <v>32</v>
      </c>
      <c r="J23">
        <v>39</v>
      </c>
      <c r="K23">
        <v>71</v>
      </c>
      <c r="L23">
        <v>52</v>
      </c>
      <c r="M23">
        <v>5</v>
      </c>
      <c r="N23">
        <v>9</v>
      </c>
      <c r="O23">
        <v>5</v>
      </c>
      <c r="P23">
        <v>7</v>
      </c>
      <c r="Q23">
        <v>0</v>
      </c>
      <c r="R23">
        <v>1</v>
      </c>
      <c r="S23">
        <v>1</v>
      </c>
      <c r="T23">
        <f t="shared" si="0"/>
        <v>0</v>
      </c>
    </row>
    <row r="24" spans="1:20" x14ac:dyDescent="0.2">
      <c r="A24">
        <v>23</v>
      </c>
      <c r="B24" t="s">
        <v>17</v>
      </c>
      <c r="C24" t="s">
        <v>22</v>
      </c>
      <c r="D24" t="s">
        <v>57</v>
      </c>
      <c r="E24">
        <v>19240104901</v>
      </c>
      <c r="F24" t="s">
        <v>36</v>
      </c>
      <c r="G24" t="s">
        <v>39</v>
      </c>
      <c r="H24" t="s">
        <v>41</v>
      </c>
      <c r="I24">
        <v>36</v>
      </c>
      <c r="J24">
        <v>27</v>
      </c>
      <c r="K24">
        <v>63</v>
      </c>
      <c r="L24">
        <v>38</v>
      </c>
      <c r="M24">
        <v>6</v>
      </c>
      <c r="N24">
        <v>9</v>
      </c>
      <c r="O24">
        <v>10</v>
      </c>
      <c r="P24">
        <v>5</v>
      </c>
      <c r="Q24">
        <v>9</v>
      </c>
      <c r="R24">
        <v>6</v>
      </c>
      <c r="S24">
        <v>15</v>
      </c>
      <c r="T24">
        <f t="shared" si="0"/>
        <v>0</v>
      </c>
    </row>
    <row r="25" spans="1:20" x14ac:dyDescent="0.2">
      <c r="A25">
        <v>24</v>
      </c>
      <c r="B25" t="s">
        <v>17</v>
      </c>
      <c r="C25" t="s">
        <v>22</v>
      </c>
      <c r="D25" t="s">
        <v>58</v>
      </c>
      <c r="E25">
        <v>19240105102</v>
      </c>
      <c r="F25" t="s">
        <v>36</v>
      </c>
      <c r="G25" t="s">
        <v>24</v>
      </c>
      <c r="H25" t="s">
        <v>42</v>
      </c>
      <c r="I25">
        <v>32</v>
      </c>
      <c r="J25">
        <v>27</v>
      </c>
      <c r="K25">
        <v>59</v>
      </c>
      <c r="L25">
        <v>32</v>
      </c>
      <c r="M25">
        <v>8</v>
      </c>
      <c r="N25">
        <v>10</v>
      </c>
      <c r="O25">
        <v>9</v>
      </c>
      <c r="P25">
        <v>9</v>
      </c>
      <c r="Q25">
        <v>4</v>
      </c>
      <c r="R25">
        <v>0</v>
      </c>
      <c r="S25">
        <v>4</v>
      </c>
      <c r="T25">
        <f t="shared" si="0"/>
        <v>1</v>
      </c>
    </row>
    <row r="26" spans="1:20" x14ac:dyDescent="0.2">
      <c r="A26">
        <v>25</v>
      </c>
      <c r="B26" t="s">
        <v>17</v>
      </c>
      <c r="C26" t="s">
        <v>509</v>
      </c>
      <c r="D26" t="s">
        <v>59</v>
      </c>
      <c r="E26">
        <v>19240401201</v>
      </c>
      <c r="F26" t="s">
        <v>35</v>
      </c>
      <c r="G26" t="s">
        <v>38</v>
      </c>
      <c r="H26" t="s">
        <v>43</v>
      </c>
      <c r="I26">
        <v>35</v>
      </c>
      <c r="J26">
        <v>31</v>
      </c>
      <c r="K26">
        <v>66</v>
      </c>
      <c r="L26">
        <v>41</v>
      </c>
      <c r="M26">
        <v>9</v>
      </c>
      <c r="N26">
        <v>6</v>
      </c>
      <c r="O26">
        <v>10</v>
      </c>
      <c r="P26">
        <v>8</v>
      </c>
      <c r="Q26">
        <v>10</v>
      </c>
      <c r="R26">
        <v>0</v>
      </c>
      <c r="S26">
        <v>10</v>
      </c>
      <c r="T26">
        <f t="shared" si="0"/>
        <v>0</v>
      </c>
    </row>
    <row r="27" spans="1:20" x14ac:dyDescent="0.2">
      <c r="A27">
        <v>26</v>
      </c>
      <c r="B27" t="s">
        <v>17</v>
      </c>
      <c r="C27" t="s">
        <v>22</v>
      </c>
      <c r="D27" t="s">
        <v>60</v>
      </c>
      <c r="E27">
        <v>19240104201</v>
      </c>
      <c r="F27" t="s">
        <v>36</v>
      </c>
      <c r="G27" t="s">
        <v>39</v>
      </c>
      <c r="H27" t="s">
        <v>42</v>
      </c>
      <c r="I27">
        <v>32</v>
      </c>
      <c r="J27">
        <v>32</v>
      </c>
      <c r="K27">
        <v>64</v>
      </c>
      <c r="L27">
        <v>36</v>
      </c>
      <c r="M27">
        <v>10</v>
      </c>
      <c r="N27">
        <v>8</v>
      </c>
      <c r="O27">
        <v>10</v>
      </c>
      <c r="P27">
        <v>9</v>
      </c>
      <c r="Q27">
        <v>5</v>
      </c>
      <c r="R27">
        <v>9</v>
      </c>
      <c r="S27">
        <v>14</v>
      </c>
      <c r="T27">
        <f t="shared" si="0"/>
        <v>1</v>
      </c>
    </row>
    <row r="28" spans="1:20" x14ac:dyDescent="0.2">
      <c r="A28">
        <v>27</v>
      </c>
      <c r="B28" t="s">
        <v>17</v>
      </c>
      <c r="C28" t="s">
        <v>22</v>
      </c>
      <c r="D28" t="s">
        <v>61</v>
      </c>
      <c r="E28">
        <v>19240105501</v>
      </c>
      <c r="F28" t="s">
        <v>37</v>
      </c>
      <c r="G28" t="s">
        <v>24</v>
      </c>
      <c r="H28" t="s">
        <v>42</v>
      </c>
      <c r="I28">
        <v>36</v>
      </c>
      <c r="J28">
        <v>29</v>
      </c>
      <c r="K28">
        <v>65</v>
      </c>
      <c r="L28">
        <v>42</v>
      </c>
      <c r="M28">
        <v>8</v>
      </c>
      <c r="N28">
        <v>10</v>
      </c>
      <c r="O28">
        <v>5</v>
      </c>
      <c r="P28">
        <v>7</v>
      </c>
      <c r="Q28">
        <v>5</v>
      </c>
      <c r="R28">
        <v>5</v>
      </c>
      <c r="S28">
        <v>10</v>
      </c>
      <c r="T28">
        <f t="shared" si="0"/>
        <v>0</v>
      </c>
    </row>
    <row r="29" spans="1:20" x14ac:dyDescent="0.2">
      <c r="A29">
        <v>28</v>
      </c>
      <c r="B29" t="s">
        <v>17</v>
      </c>
      <c r="C29" t="s">
        <v>22</v>
      </c>
      <c r="D29" t="s">
        <v>62</v>
      </c>
      <c r="E29">
        <v>19240105401</v>
      </c>
      <c r="F29" t="s">
        <v>35</v>
      </c>
      <c r="G29" t="s">
        <v>24</v>
      </c>
      <c r="H29" t="s">
        <v>44</v>
      </c>
      <c r="I29">
        <v>37</v>
      </c>
      <c r="J29">
        <v>38</v>
      </c>
      <c r="K29">
        <v>75</v>
      </c>
      <c r="L29">
        <v>53</v>
      </c>
      <c r="M29">
        <v>7</v>
      </c>
      <c r="N29">
        <v>9</v>
      </c>
      <c r="O29">
        <v>6</v>
      </c>
      <c r="P29">
        <v>7</v>
      </c>
      <c r="Q29">
        <v>6</v>
      </c>
      <c r="R29">
        <v>0</v>
      </c>
      <c r="S29">
        <v>6</v>
      </c>
      <c r="T29">
        <f t="shared" si="0"/>
        <v>0</v>
      </c>
    </row>
    <row r="30" spans="1:20" x14ac:dyDescent="0.2">
      <c r="A30">
        <v>29</v>
      </c>
      <c r="B30" t="s">
        <v>17</v>
      </c>
      <c r="C30" t="s">
        <v>22</v>
      </c>
      <c r="D30" t="s">
        <v>63</v>
      </c>
      <c r="E30">
        <v>19240101002</v>
      </c>
      <c r="F30" t="s">
        <v>37</v>
      </c>
      <c r="G30" t="s">
        <v>23</v>
      </c>
      <c r="H30" t="s">
        <v>43</v>
      </c>
      <c r="I30">
        <v>23</v>
      </c>
      <c r="J30">
        <v>23</v>
      </c>
      <c r="K30">
        <v>46</v>
      </c>
      <c r="L30">
        <v>22</v>
      </c>
      <c r="M30">
        <v>8</v>
      </c>
      <c r="N30">
        <v>10</v>
      </c>
      <c r="O30">
        <v>6</v>
      </c>
      <c r="P30">
        <v>5</v>
      </c>
      <c r="Q30">
        <v>6</v>
      </c>
      <c r="R30">
        <v>8</v>
      </c>
      <c r="S30">
        <v>14</v>
      </c>
      <c r="T30">
        <f t="shared" si="0"/>
        <v>1</v>
      </c>
    </row>
    <row r="31" spans="1:20" x14ac:dyDescent="0.2">
      <c r="A31">
        <v>30</v>
      </c>
      <c r="B31" t="s">
        <v>17</v>
      </c>
      <c r="C31" t="s">
        <v>22</v>
      </c>
      <c r="D31" t="s">
        <v>64</v>
      </c>
      <c r="E31">
        <v>19240100702</v>
      </c>
      <c r="F31" t="s">
        <v>36</v>
      </c>
      <c r="G31" t="s">
        <v>40</v>
      </c>
      <c r="H31" t="s">
        <v>42</v>
      </c>
      <c r="I31">
        <v>35</v>
      </c>
      <c r="J31">
        <v>39</v>
      </c>
      <c r="K31">
        <v>74</v>
      </c>
      <c r="L31">
        <v>52</v>
      </c>
      <c r="M31">
        <v>10</v>
      </c>
      <c r="N31">
        <v>5</v>
      </c>
      <c r="O31">
        <v>7</v>
      </c>
      <c r="P31">
        <v>6</v>
      </c>
      <c r="Q31">
        <v>7</v>
      </c>
      <c r="R31">
        <v>5</v>
      </c>
      <c r="S31">
        <v>12</v>
      </c>
      <c r="T31">
        <f t="shared" si="0"/>
        <v>0</v>
      </c>
    </row>
    <row r="32" spans="1:20" x14ac:dyDescent="0.2">
      <c r="A32">
        <v>31</v>
      </c>
      <c r="B32" t="s">
        <v>17</v>
      </c>
      <c r="C32" t="s">
        <v>22</v>
      </c>
      <c r="D32" t="s">
        <v>65</v>
      </c>
      <c r="E32">
        <v>19240100701</v>
      </c>
      <c r="F32" t="s">
        <v>35</v>
      </c>
      <c r="G32" t="s">
        <v>23</v>
      </c>
      <c r="H32" t="s">
        <v>41</v>
      </c>
      <c r="I32">
        <v>40</v>
      </c>
      <c r="J32">
        <v>25</v>
      </c>
      <c r="K32">
        <v>65</v>
      </c>
      <c r="L32">
        <v>41</v>
      </c>
      <c r="M32">
        <v>10</v>
      </c>
      <c r="N32">
        <v>5</v>
      </c>
      <c r="O32">
        <v>9</v>
      </c>
      <c r="P32">
        <v>5</v>
      </c>
      <c r="Q32">
        <v>10</v>
      </c>
      <c r="R32">
        <v>5</v>
      </c>
      <c r="S32">
        <v>15</v>
      </c>
      <c r="T32">
        <f t="shared" si="0"/>
        <v>0</v>
      </c>
    </row>
    <row r="33" spans="1:20" x14ac:dyDescent="0.2">
      <c r="A33">
        <v>32</v>
      </c>
      <c r="B33" t="s">
        <v>17</v>
      </c>
      <c r="C33" t="s">
        <v>22</v>
      </c>
      <c r="D33" t="s">
        <v>66</v>
      </c>
      <c r="E33">
        <v>19240106101</v>
      </c>
      <c r="F33" t="s">
        <v>36</v>
      </c>
      <c r="G33" t="s">
        <v>38</v>
      </c>
      <c r="H33" t="s">
        <v>42</v>
      </c>
      <c r="I33">
        <v>22</v>
      </c>
      <c r="J33">
        <v>28</v>
      </c>
      <c r="K33">
        <v>50</v>
      </c>
      <c r="L33">
        <v>23</v>
      </c>
      <c r="M33">
        <v>10</v>
      </c>
      <c r="N33">
        <v>10</v>
      </c>
      <c r="O33">
        <v>7</v>
      </c>
      <c r="P33">
        <v>5</v>
      </c>
      <c r="Q33">
        <v>8</v>
      </c>
      <c r="R33">
        <v>1</v>
      </c>
      <c r="S33">
        <v>9</v>
      </c>
      <c r="T33">
        <f t="shared" si="0"/>
        <v>1</v>
      </c>
    </row>
    <row r="34" spans="1:20" x14ac:dyDescent="0.2">
      <c r="A34">
        <v>33</v>
      </c>
      <c r="B34" t="s">
        <v>17</v>
      </c>
      <c r="C34" t="s">
        <v>22</v>
      </c>
      <c r="D34" t="s">
        <v>67</v>
      </c>
      <c r="E34">
        <v>19240106103</v>
      </c>
      <c r="F34" t="s">
        <v>36</v>
      </c>
      <c r="G34" t="s">
        <v>39</v>
      </c>
      <c r="H34" t="s">
        <v>41</v>
      </c>
      <c r="I34">
        <v>30</v>
      </c>
      <c r="J34">
        <v>37</v>
      </c>
      <c r="K34">
        <v>67</v>
      </c>
      <c r="L34">
        <v>45</v>
      </c>
      <c r="M34">
        <v>8</v>
      </c>
      <c r="N34">
        <v>9</v>
      </c>
      <c r="O34">
        <v>5</v>
      </c>
      <c r="P34">
        <v>5</v>
      </c>
      <c r="Q34">
        <v>0</v>
      </c>
      <c r="R34">
        <v>8</v>
      </c>
      <c r="S34">
        <v>8</v>
      </c>
      <c r="T34">
        <f t="shared" si="0"/>
        <v>0</v>
      </c>
    </row>
    <row r="35" spans="1:20" x14ac:dyDescent="0.2">
      <c r="A35">
        <v>34</v>
      </c>
      <c r="B35" t="s">
        <v>17</v>
      </c>
      <c r="C35" t="s">
        <v>22</v>
      </c>
      <c r="D35" t="s">
        <v>68</v>
      </c>
      <c r="E35">
        <v>19240107402</v>
      </c>
      <c r="F35" t="s">
        <v>36</v>
      </c>
      <c r="G35" t="s">
        <v>24</v>
      </c>
      <c r="H35" t="s">
        <v>42</v>
      </c>
      <c r="I35">
        <v>24</v>
      </c>
      <c r="J35">
        <v>24</v>
      </c>
      <c r="K35">
        <v>48</v>
      </c>
      <c r="L35">
        <v>28</v>
      </c>
      <c r="M35">
        <v>7</v>
      </c>
      <c r="N35">
        <v>6</v>
      </c>
      <c r="O35">
        <v>7</v>
      </c>
      <c r="P35">
        <v>6</v>
      </c>
      <c r="Q35">
        <v>2</v>
      </c>
      <c r="R35">
        <v>6</v>
      </c>
      <c r="S35">
        <v>8</v>
      </c>
      <c r="T35">
        <f t="shared" si="0"/>
        <v>0</v>
      </c>
    </row>
    <row r="36" spans="1:20" x14ac:dyDescent="0.2">
      <c r="A36">
        <v>35</v>
      </c>
      <c r="B36" t="s">
        <v>17</v>
      </c>
      <c r="C36" t="s">
        <v>22</v>
      </c>
      <c r="D36" t="s">
        <v>69</v>
      </c>
      <c r="E36">
        <v>19240103202</v>
      </c>
      <c r="F36" t="s">
        <v>35</v>
      </c>
      <c r="G36" t="s">
        <v>38</v>
      </c>
      <c r="H36" t="s">
        <v>43</v>
      </c>
      <c r="I36">
        <v>40</v>
      </c>
      <c r="J36">
        <v>32</v>
      </c>
      <c r="K36">
        <v>72</v>
      </c>
      <c r="L36">
        <v>47</v>
      </c>
      <c r="M36">
        <v>9</v>
      </c>
      <c r="N36">
        <v>10</v>
      </c>
      <c r="O36">
        <v>6</v>
      </c>
      <c r="P36">
        <v>10</v>
      </c>
      <c r="Q36">
        <v>3</v>
      </c>
      <c r="R36">
        <v>4</v>
      </c>
      <c r="S36">
        <v>7</v>
      </c>
      <c r="T36">
        <f t="shared" si="0"/>
        <v>0</v>
      </c>
    </row>
    <row r="37" spans="1:20" x14ac:dyDescent="0.2">
      <c r="A37">
        <v>36</v>
      </c>
      <c r="B37" t="s">
        <v>17</v>
      </c>
      <c r="C37" t="s">
        <v>22</v>
      </c>
      <c r="D37" t="s">
        <v>70</v>
      </c>
      <c r="E37">
        <v>19240107502</v>
      </c>
      <c r="F37" t="s">
        <v>36</v>
      </c>
      <c r="G37" t="s">
        <v>39</v>
      </c>
      <c r="H37" t="s">
        <v>42</v>
      </c>
      <c r="I37">
        <v>24</v>
      </c>
      <c r="J37">
        <v>36</v>
      </c>
      <c r="K37">
        <v>60</v>
      </c>
      <c r="L37">
        <v>37</v>
      </c>
      <c r="M37">
        <v>7</v>
      </c>
      <c r="N37">
        <v>9</v>
      </c>
      <c r="O37">
        <v>7</v>
      </c>
      <c r="P37">
        <v>5</v>
      </c>
      <c r="Q37">
        <v>7</v>
      </c>
      <c r="R37">
        <v>10</v>
      </c>
      <c r="S37">
        <v>17</v>
      </c>
      <c r="T37">
        <f t="shared" si="0"/>
        <v>0</v>
      </c>
    </row>
    <row r="38" spans="1:20" x14ac:dyDescent="0.2">
      <c r="A38">
        <v>37</v>
      </c>
      <c r="B38" t="s">
        <v>17</v>
      </c>
      <c r="C38" t="s">
        <v>22</v>
      </c>
      <c r="D38" t="s">
        <v>71</v>
      </c>
      <c r="E38">
        <v>19240103602</v>
      </c>
      <c r="F38" t="s">
        <v>37</v>
      </c>
      <c r="G38" t="s">
        <v>24</v>
      </c>
      <c r="H38" t="s">
        <v>42</v>
      </c>
      <c r="I38">
        <v>28</v>
      </c>
      <c r="J38">
        <v>20</v>
      </c>
      <c r="K38">
        <v>48</v>
      </c>
      <c r="L38">
        <v>29</v>
      </c>
      <c r="M38">
        <v>5</v>
      </c>
      <c r="N38">
        <v>6</v>
      </c>
      <c r="O38">
        <v>8</v>
      </c>
      <c r="P38">
        <v>10</v>
      </c>
      <c r="Q38">
        <v>0</v>
      </c>
      <c r="R38">
        <v>2</v>
      </c>
      <c r="S38">
        <v>2</v>
      </c>
      <c r="T38">
        <f t="shared" si="0"/>
        <v>0</v>
      </c>
    </row>
    <row r="39" spans="1:20" x14ac:dyDescent="0.2">
      <c r="A39">
        <v>38</v>
      </c>
      <c r="B39" t="s">
        <v>17</v>
      </c>
      <c r="C39" t="s">
        <v>509</v>
      </c>
      <c r="D39" t="s">
        <v>72</v>
      </c>
      <c r="E39">
        <v>19240401006</v>
      </c>
      <c r="F39" t="s">
        <v>35</v>
      </c>
      <c r="G39" t="s">
        <v>24</v>
      </c>
      <c r="H39" t="s">
        <v>44</v>
      </c>
      <c r="I39">
        <v>28</v>
      </c>
      <c r="J39">
        <v>28</v>
      </c>
      <c r="K39">
        <v>56</v>
      </c>
      <c r="L39">
        <v>31</v>
      </c>
      <c r="M39">
        <v>8</v>
      </c>
      <c r="N39">
        <v>10</v>
      </c>
      <c r="O39">
        <v>7</v>
      </c>
      <c r="P39">
        <v>10</v>
      </c>
      <c r="Q39">
        <v>5</v>
      </c>
      <c r="R39">
        <v>8</v>
      </c>
      <c r="S39">
        <v>13</v>
      </c>
      <c r="T39">
        <f t="shared" si="0"/>
        <v>1</v>
      </c>
    </row>
    <row r="40" spans="1:20" x14ac:dyDescent="0.2">
      <c r="A40">
        <v>39</v>
      </c>
      <c r="B40" t="s">
        <v>17</v>
      </c>
      <c r="C40" t="s">
        <v>22</v>
      </c>
      <c r="D40" t="s">
        <v>73</v>
      </c>
      <c r="E40">
        <v>19240106001</v>
      </c>
      <c r="F40" t="s">
        <v>37</v>
      </c>
      <c r="G40" t="s">
        <v>23</v>
      </c>
      <c r="H40" t="s">
        <v>43</v>
      </c>
      <c r="I40">
        <v>33</v>
      </c>
      <c r="J40">
        <v>39</v>
      </c>
      <c r="K40">
        <v>72</v>
      </c>
      <c r="L40">
        <v>49</v>
      </c>
      <c r="M40">
        <v>8</v>
      </c>
      <c r="N40">
        <v>9</v>
      </c>
      <c r="O40">
        <v>6</v>
      </c>
      <c r="P40">
        <v>7</v>
      </c>
      <c r="Q40">
        <v>5</v>
      </c>
      <c r="R40">
        <v>4</v>
      </c>
      <c r="S40">
        <v>9</v>
      </c>
      <c r="T40">
        <f t="shared" si="0"/>
        <v>0</v>
      </c>
    </row>
    <row r="41" spans="1:20" x14ac:dyDescent="0.2">
      <c r="A41">
        <v>40</v>
      </c>
      <c r="B41" t="s">
        <v>17</v>
      </c>
      <c r="C41" t="s">
        <v>22</v>
      </c>
      <c r="D41" t="s">
        <v>74</v>
      </c>
      <c r="E41">
        <v>19240101201</v>
      </c>
      <c r="F41" t="s">
        <v>36</v>
      </c>
      <c r="G41" t="s">
        <v>40</v>
      </c>
      <c r="H41" t="s">
        <v>42</v>
      </c>
      <c r="I41">
        <v>38</v>
      </c>
      <c r="J41">
        <v>37</v>
      </c>
      <c r="K41">
        <v>75</v>
      </c>
      <c r="L41">
        <v>53</v>
      </c>
      <c r="M41">
        <v>8</v>
      </c>
      <c r="N41">
        <v>5</v>
      </c>
      <c r="O41">
        <v>9</v>
      </c>
      <c r="P41">
        <v>10</v>
      </c>
      <c r="Q41">
        <v>10</v>
      </c>
      <c r="R41">
        <v>5</v>
      </c>
      <c r="S41">
        <v>15</v>
      </c>
      <c r="T41">
        <f t="shared" ref="T41:T56" si="1">IF(SUM(M41:P41) &gt; L41, 1, 0)</f>
        <v>0</v>
      </c>
    </row>
    <row r="42" spans="1:20" x14ac:dyDescent="0.2">
      <c r="A42">
        <v>41</v>
      </c>
      <c r="B42" t="s">
        <v>17</v>
      </c>
      <c r="C42" t="s">
        <v>22</v>
      </c>
      <c r="D42" t="s">
        <v>75</v>
      </c>
      <c r="E42">
        <v>19240103301</v>
      </c>
      <c r="F42" t="s">
        <v>35</v>
      </c>
      <c r="G42" t="s">
        <v>23</v>
      </c>
      <c r="H42" t="s">
        <v>41</v>
      </c>
      <c r="I42">
        <v>31</v>
      </c>
      <c r="J42">
        <v>24</v>
      </c>
      <c r="K42">
        <v>55</v>
      </c>
      <c r="L42">
        <v>26</v>
      </c>
      <c r="M42">
        <v>9</v>
      </c>
      <c r="N42">
        <v>10</v>
      </c>
      <c r="O42">
        <v>10</v>
      </c>
      <c r="P42">
        <v>10</v>
      </c>
      <c r="Q42">
        <v>2</v>
      </c>
      <c r="R42">
        <v>6</v>
      </c>
      <c r="S42">
        <v>8</v>
      </c>
      <c r="T42">
        <f t="shared" si="1"/>
        <v>1</v>
      </c>
    </row>
    <row r="43" spans="1:20" x14ac:dyDescent="0.2">
      <c r="A43">
        <v>42</v>
      </c>
      <c r="B43" t="s">
        <v>17</v>
      </c>
      <c r="C43" t="s">
        <v>22</v>
      </c>
      <c r="D43" t="s">
        <v>76</v>
      </c>
      <c r="E43">
        <v>19240104101</v>
      </c>
      <c r="F43" t="s">
        <v>36</v>
      </c>
      <c r="G43" t="s">
        <v>38</v>
      </c>
      <c r="H43" t="s">
        <v>42</v>
      </c>
      <c r="I43">
        <v>25</v>
      </c>
      <c r="J43">
        <v>26</v>
      </c>
      <c r="K43">
        <v>51</v>
      </c>
      <c r="L43">
        <v>30</v>
      </c>
      <c r="M43">
        <v>9</v>
      </c>
      <c r="N43">
        <v>5</v>
      </c>
      <c r="O43">
        <v>7</v>
      </c>
      <c r="P43">
        <v>7</v>
      </c>
      <c r="Q43">
        <v>3</v>
      </c>
      <c r="R43">
        <v>9</v>
      </c>
      <c r="S43">
        <v>12</v>
      </c>
      <c r="T43">
        <f t="shared" si="1"/>
        <v>0</v>
      </c>
    </row>
    <row r="44" spans="1:20" x14ac:dyDescent="0.2">
      <c r="A44">
        <v>43</v>
      </c>
      <c r="B44" t="s">
        <v>17</v>
      </c>
      <c r="C44" t="s">
        <v>22</v>
      </c>
      <c r="D44" t="s">
        <v>77</v>
      </c>
      <c r="E44">
        <v>19240104401</v>
      </c>
      <c r="F44" t="s">
        <v>36</v>
      </c>
      <c r="G44" t="s">
        <v>39</v>
      </c>
      <c r="H44" t="s">
        <v>41</v>
      </c>
      <c r="I44">
        <v>28</v>
      </c>
      <c r="J44">
        <v>36</v>
      </c>
      <c r="K44">
        <v>64</v>
      </c>
      <c r="L44">
        <v>46</v>
      </c>
      <c r="M44">
        <v>8</v>
      </c>
      <c r="N44">
        <v>5</v>
      </c>
      <c r="O44">
        <v>5</v>
      </c>
      <c r="P44">
        <v>7</v>
      </c>
      <c r="Q44">
        <v>6</v>
      </c>
      <c r="R44">
        <v>4</v>
      </c>
      <c r="S44">
        <v>10</v>
      </c>
      <c r="T44">
        <f t="shared" si="1"/>
        <v>0</v>
      </c>
    </row>
    <row r="45" spans="1:20" x14ac:dyDescent="0.2">
      <c r="A45">
        <v>44</v>
      </c>
      <c r="B45" t="s">
        <v>17</v>
      </c>
      <c r="C45" t="s">
        <v>22</v>
      </c>
      <c r="D45" t="s">
        <v>78</v>
      </c>
      <c r="E45">
        <v>19240104801</v>
      </c>
      <c r="F45" t="s">
        <v>36</v>
      </c>
      <c r="G45" t="s">
        <v>24</v>
      </c>
      <c r="H45" t="s">
        <v>42</v>
      </c>
      <c r="I45">
        <v>25</v>
      </c>
      <c r="J45">
        <v>36</v>
      </c>
      <c r="K45">
        <v>61</v>
      </c>
      <c r="L45">
        <v>35</v>
      </c>
      <c r="M45">
        <v>9</v>
      </c>
      <c r="N45">
        <v>7</v>
      </c>
      <c r="O45">
        <v>10</v>
      </c>
      <c r="P45">
        <v>5</v>
      </c>
      <c r="Q45">
        <v>7</v>
      </c>
      <c r="R45">
        <v>10</v>
      </c>
      <c r="S45">
        <v>17</v>
      </c>
      <c r="T45">
        <f t="shared" si="1"/>
        <v>0</v>
      </c>
    </row>
    <row r="46" spans="1:20" x14ac:dyDescent="0.2">
      <c r="A46">
        <v>45</v>
      </c>
      <c r="B46" t="s">
        <v>17</v>
      </c>
      <c r="C46" t="s">
        <v>509</v>
      </c>
      <c r="D46" t="s">
        <v>79</v>
      </c>
      <c r="E46">
        <v>19240401004</v>
      </c>
      <c r="F46" t="s">
        <v>35</v>
      </c>
      <c r="G46" t="s">
        <v>38</v>
      </c>
      <c r="H46" t="s">
        <v>43</v>
      </c>
      <c r="I46">
        <v>37</v>
      </c>
      <c r="J46">
        <v>34</v>
      </c>
      <c r="K46">
        <v>71</v>
      </c>
      <c r="L46">
        <v>49</v>
      </c>
      <c r="M46">
        <v>7</v>
      </c>
      <c r="N46">
        <v>8</v>
      </c>
      <c r="O46">
        <v>7</v>
      </c>
      <c r="P46">
        <v>8</v>
      </c>
      <c r="Q46">
        <v>3</v>
      </c>
      <c r="R46">
        <v>5</v>
      </c>
      <c r="S46">
        <v>8</v>
      </c>
      <c r="T46">
        <f t="shared" si="1"/>
        <v>0</v>
      </c>
    </row>
    <row r="47" spans="1:20" x14ac:dyDescent="0.2">
      <c r="A47">
        <v>46</v>
      </c>
      <c r="B47" t="s">
        <v>17</v>
      </c>
      <c r="C47" t="s">
        <v>22</v>
      </c>
      <c r="D47" t="s">
        <v>80</v>
      </c>
      <c r="E47">
        <v>19240100801</v>
      </c>
      <c r="F47" t="s">
        <v>36</v>
      </c>
      <c r="G47" t="s">
        <v>39</v>
      </c>
      <c r="H47" t="s">
        <v>42</v>
      </c>
      <c r="I47">
        <v>34</v>
      </c>
      <c r="J47">
        <v>22</v>
      </c>
      <c r="K47">
        <v>56</v>
      </c>
      <c r="L47">
        <v>38</v>
      </c>
      <c r="M47">
        <v>5</v>
      </c>
      <c r="N47">
        <v>7</v>
      </c>
      <c r="O47">
        <v>6</v>
      </c>
      <c r="P47">
        <v>5</v>
      </c>
      <c r="Q47">
        <v>5</v>
      </c>
      <c r="R47">
        <v>8</v>
      </c>
      <c r="S47">
        <v>13</v>
      </c>
      <c r="T47">
        <f t="shared" si="1"/>
        <v>0</v>
      </c>
    </row>
    <row r="48" spans="1:20" x14ac:dyDescent="0.2">
      <c r="A48">
        <v>47</v>
      </c>
      <c r="B48" t="s">
        <v>17</v>
      </c>
      <c r="C48" t="s">
        <v>22</v>
      </c>
      <c r="D48" t="s">
        <v>81</v>
      </c>
      <c r="E48">
        <v>19240107601</v>
      </c>
      <c r="F48" t="s">
        <v>37</v>
      </c>
      <c r="G48" t="s">
        <v>24</v>
      </c>
      <c r="H48" t="s">
        <v>42</v>
      </c>
      <c r="I48">
        <v>26</v>
      </c>
      <c r="J48">
        <v>34</v>
      </c>
      <c r="K48">
        <v>60</v>
      </c>
      <c r="L48">
        <v>35</v>
      </c>
      <c r="M48">
        <v>8</v>
      </c>
      <c r="N48">
        <v>9</v>
      </c>
      <c r="O48">
        <v>8</v>
      </c>
      <c r="P48">
        <v>5</v>
      </c>
      <c r="Q48">
        <v>0</v>
      </c>
      <c r="R48">
        <v>1</v>
      </c>
      <c r="S48">
        <v>1</v>
      </c>
      <c r="T48">
        <f t="shared" si="1"/>
        <v>0</v>
      </c>
    </row>
    <row r="49" spans="1:20" x14ac:dyDescent="0.2">
      <c r="A49">
        <v>48</v>
      </c>
      <c r="B49" t="s">
        <v>17</v>
      </c>
      <c r="C49" t="s">
        <v>22</v>
      </c>
      <c r="D49" t="s">
        <v>82</v>
      </c>
      <c r="E49">
        <v>19240104701</v>
      </c>
      <c r="F49" t="s">
        <v>35</v>
      </c>
      <c r="G49" t="s">
        <v>24</v>
      </c>
      <c r="H49" t="s">
        <v>44</v>
      </c>
      <c r="I49">
        <v>36</v>
      </c>
      <c r="J49">
        <v>27</v>
      </c>
      <c r="K49">
        <v>63</v>
      </c>
      <c r="L49">
        <v>42</v>
      </c>
      <c r="M49">
        <v>6</v>
      </c>
      <c r="N49">
        <v>10</v>
      </c>
      <c r="O49">
        <v>5</v>
      </c>
      <c r="P49">
        <v>9</v>
      </c>
      <c r="Q49">
        <v>8</v>
      </c>
      <c r="R49">
        <v>4</v>
      </c>
      <c r="S49">
        <v>12</v>
      </c>
      <c r="T49">
        <f t="shared" si="1"/>
        <v>0</v>
      </c>
    </row>
    <row r="50" spans="1:20" x14ac:dyDescent="0.2">
      <c r="A50">
        <v>49</v>
      </c>
      <c r="B50" t="s">
        <v>17</v>
      </c>
      <c r="C50" t="s">
        <v>509</v>
      </c>
      <c r="D50" t="s">
        <v>83</v>
      </c>
      <c r="E50">
        <v>19240401003</v>
      </c>
      <c r="F50" t="s">
        <v>37</v>
      </c>
      <c r="G50" t="s">
        <v>23</v>
      </c>
      <c r="H50" t="s">
        <v>43</v>
      </c>
      <c r="I50">
        <v>25</v>
      </c>
      <c r="J50">
        <v>26</v>
      </c>
      <c r="K50">
        <v>51</v>
      </c>
      <c r="L50">
        <v>30</v>
      </c>
      <c r="M50">
        <v>8</v>
      </c>
      <c r="N50">
        <v>6</v>
      </c>
      <c r="O50">
        <v>7</v>
      </c>
      <c r="P50">
        <v>5</v>
      </c>
      <c r="Q50">
        <v>0</v>
      </c>
      <c r="R50">
        <v>8</v>
      </c>
      <c r="S50">
        <v>8</v>
      </c>
      <c r="T50">
        <f t="shared" si="1"/>
        <v>0</v>
      </c>
    </row>
    <row r="51" spans="1:20" x14ac:dyDescent="0.2">
      <c r="A51">
        <v>50</v>
      </c>
      <c r="B51" t="s">
        <v>17</v>
      </c>
      <c r="C51" t="s">
        <v>22</v>
      </c>
      <c r="D51" t="s">
        <v>84</v>
      </c>
      <c r="E51">
        <v>19240106902</v>
      </c>
      <c r="F51" t="s">
        <v>36</v>
      </c>
      <c r="G51" t="s">
        <v>40</v>
      </c>
      <c r="H51" t="s">
        <v>42</v>
      </c>
      <c r="I51">
        <v>40</v>
      </c>
      <c r="J51">
        <v>32</v>
      </c>
      <c r="K51">
        <v>72</v>
      </c>
      <c r="L51">
        <v>54</v>
      </c>
      <c r="M51">
        <v>7</v>
      </c>
      <c r="N51">
        <v>5</v>
      </c>
      <c r="O51">
        <v>6</v>
      </c>
      <c r="P51">
        <v>7</v>
      </c>
      <c r="Q51">
        <v>7</v>
      </c>
      <c r="R51">
        <v>6</v>
      </c>
      <c r="S51">
        <v>13</v>
      </c>
      <c r="T51">
        <f t="shared" si="1"/>
        <v>0</v>
      </c>
    </row>
    <row r="52" spans="1:20" x14ac:dyDescent="0.2">
      <c r="A52">
        <v>51</v>
      </c>
      <c r="B52" t="s">
        <v>17</v>
      </c>
      <c r="C52" t="s">
        <v>509</v>
      </c>
      <c r="D52" t="s">
        <v>85</v>
      </c>
      <c r="E52">
        <v>19240400802</v>
      </c>
      <c r="F52" t="s">
        <v>35</v>
      </c>
      <c r="G52" t="s">
        <v>23</v>
      </c>
      <c r="H52" t="s">
        <v>41</v>
      </c>
      <c r="I52">
        <v>27</v>
      </c>
      <c r="J52">
        <v>39</v>
      </c>
      <c r="K52">
        <v>66</v>
      </c>
      <c r="L52">
        <v>47</v>
      </c>
      <c r="M52">
        <v>8</v>
      </c>
      <c r="N52">
        <v>5</v>
      </c>
      <c r="O52">
        <v>6</v>
      </c>
      <c r="P52">
        <v>8</v>
      </c>
      <c r="Q52">
        <v>8</v>
      </c>
      <c r="R52">
        <v>8</v>
      </c>
      <c r="S52">
        <v>16</v>
      </c>
      <c r="T52">
        <f t="shared" si="1"/>
        <v>0</v>
      </c>
    </row>
    <row r="53" spans="1:20" x14ac:dyDescent="0.2">
      <c r="A53">
        <v>52</v>
      </c>
      <c r="B53" t="s">
        <v>17</v>
      </c>
      <c r="C53" t="s">
        <v>22</v>
      </c>
      <c r="D53" t="s">
        <v>86</v>
      </c>
      <c r="E53">
        <v>19240101601</v>
      </c>
      <c r="F53" t="s">
        <v>36</v>
      </c>
      <c r="G53" t="s">
        <v>38</v>
      </c>
      <c r="H53" t="s">
        <v>42</v>
      </c>
      <c r="I53">
        <v>38</v>
      </c>
      <c r="J53">
        <v>33</v>
      </c>
      <c r="K53">
        <v>71</v>
      </c>
      <c r="L53">
        <v>46</v>
      </c>
      <c r="M53">
        <v>10</v>
      </c>
      <c r="N53">
        <v>8</v>
      </c>
      <c r="O53">
        <v>7</v>
      </c>
      <c r="P53">
        <v>9</v>
      </c>
      <c r="Q53">
        <v>5</v>
      </c>
      <c r="R53">
        <v>6</v>
      </c>
      <c r="S53">
        <v>11</v>
      </c>
      <c r="T53">
        <f t="shared" si="1"/>
        <v>0</v>
      </c>
    </row>
    <row r="54" spans="1:20" x14ac:dyDescent="0.2">
      <c r="A54">
        <v>53</v>
      </c>
      <c r="B54" t="s">
        <v>17</v>
      </c>
      <c r="C54" t="s">
        <v>22</v>
      </c>
      <c r="D54" t="s">
        <v>87</v>
      </c>
      <c r="E54">
        <v>19240102402</v>
      </c>
      <c r="F54" t="s">
        <v>36</v>
      </c>
      <c r="G54" t="s">
        <v>39</v>
      </c>
      <c r="H54" t="s">
        <v>41</v>
      </c>
      <c r="I54">
        <v>20</v>
      </c>
      <c r="J54">
        <v>28</v>
      </c>
      <c r="K54">
        <v>48</v>
      </c>
      <c r="L54">
        <v>27</v>
      </c>
      <c r="M54">
        <v>6</v>
      </c>
      <c r="N54">
        <v>7</v>
      </c>
      <c r="O54">
        <v>8</v>
      </c>
      <c r="P54">
        <v>10</v>
      </c>
      <c r="Q54">
        <v>10</v>
      </c>
      <c r="R54">
        <v>6</v>
      </c>
      <c r="S54">
        <v>16</v>
      </c>
      <c r="T54">
        <f t="shared" si="1"/>
        <v>1</v>
      </c>
    </row>
    <row r="55" spans="1:20" x14ac:dyDescent="0.2">
      <c r="A55">
        <v>54</v>
      </c>
      <c r="B55" t="s">
        <v>17</v>
      </c>
      <c r="C55" t="s">
        <v>22</v>
      </c>
      <c r="D55" t="s">
        <v>88</v>
      </c>
      <c r="E55">
        <v>19240104502</v>
      </c>
      <c r="F55" t="s">
        <v>36</v>
      </c>
      <c r="G55" t="s">
        <v>24</v>
      </c>
      <c r="H55" t="s">
        <v>42</v>
      </c>
      <c r="I55">
        <v>36</v>
      </c>
      <c r="J55">
        <v>33</v>
      </c>
      <c r="K55">
        <v>69</v>
      </c>
      <c r="L55">
        <v>46</v>
      </c>
      <c r="M55">
        <v>9</v>
      </c>
      <c r="N55">
        <v>6</v>
      </c>
      <c r="O55">
        <v>8</v>
      </c>
      <c r="P55">
        <v>10</v>
      </c>
      <c r="Q55">
        <v>6</v>
      </c>
      <c r="R55">
        <v>8</v>
      </c>
      <c r="S55">
        <v>14</v>
      </c>
      <c r="T55">
        <f t="shared" si="1"/>
        <v>0</v>
      </c>
    </row>
    <row r="56" spans="1:20" x14ac:dyDescent="0.2">
      <c r="A56">
        <v>55</v>
      </c>
      <c r="B56" t="s">
        <v>17</v>
      </c>
      <c r="C56" t="s">
        <v>22</v>
      </c>
      <c r="D56" t="s">
        <v>89</v>
      </c>
      <c r="E56">
        <v>19240104402</v>
      </c>
      <c r="F56" t="s">
        <v>35</v>
      </c>
      <c r="G56" t="s">
        <v>38</v>
      </c>
      <c r="H56" t="s">
        <v>43</v>
      </c>
      <c r="I56">
        <v>23</v>
      </c>
      <c r="J56">
        <v>26</v>
      </c>
      <c r="K56">
        <v>49</v>
      </c>
      <c r="L56">
        <v>24</v>
      </c>
      <c r="M56">
        <v>9</v>
      </c>
      <c r="N56">
        <v>8</v>
      </c>
      <c r="O56">
        <v>8</v>
      </c>
      <c r="P56">
        <v>8</v>
      </c>
      <c r="Q56">
        <v>4</v>
      </c>
      <c r="R56">
        <v>9</v>
      </c>
      <c r="S56">
        <v>13</v>
      </c>
      <c r="T56">
        <f t="shared" si="1"/>
        <v>1</v>
      </c>
    </row>
    <row r="57" spans="1:20" x14ac:dyDescent="0.2">
      <c r="A57">
        <v>56</v>
      </c>
      <c r="B57" t="s">
        <v>17</v>
      </c>
      <c r="C57" t="s">
        <v>22</v>
      </c>
      <c r="D57" t="s">
        <v>90</v>
      </c>
      <c r="E57">
        <v>19240100102</v>
      </c>
      <c r="F57" t="s">
        <v>36</v>
      </c>
      <c r="G57" t="s">
        <v>39</v>
      </c>
      <c r="H57" t="s">
        <v>42</v>
      </c>
      <c r="I57">
        <v>34</v>
      </c>
      <c r="J57">
        <v>20</v>
      </c>
      <c r="K57">
        <v>54</v>
      </c>
      <c r="L57">
        <v>31</v>
      </c>
      <c r="M57">
        <v>7</v>
      </c>
      <c r="N57">
        <v>10</v>
      </c>
      <c r="O57">
        <v>6</v>
      </c>
      <c r="P57">
        <v>6</v>
      </c>
      <c r="Q57">
        <v>3</v>
      </c>
      <c r="R57">
        <v>5</v>
      </c>
      <c r="S57">
        <v>8</v>
      </c>
      <c r="T57">
        <f>IF(SUM(M57:P57) &gt; L57, 1, 0)</f>
        <v>0</v>
      </c>
    </row>
    <row r="58" spans="1:20" x14ac:dyDescent="0.2">
      <c r="A58">
        <v>57</v>
      </c>
      <c r="B58" t="s">
        <v>17</v>
      </c>
      <c r="C58" t="s">
        <v>22</v>
      </c>
      <c r="D58" t="s">
        <v>91</v>
      </c>
      <c r="E58">
        <v>19240107102</v>
      </c>
      <c r="F58" t="s">
        <v>37</v>
      </c>
      <c r="G58" t="s">
        <v>24</v>
      </c>
      <c r="H58" t="s">
        <v>42</v>
      </c>
      <c r="I58">
        <v>28</v>
      </c>
      <c r="J58">
        <v>37</v>
      </c>
      <c r="K58">
        <v>65</v>
      </c>
      <c r="L58">
        <v>47</v>
      </c>
      <c r="M58">
        <v>5</v>
      </c>
      <c r="N58">
        <v>7</v>
      </c>
      <c r="O58">
        <v>6</v>
      </c>
      <c r="P58">
        <v>5</v>
      </c>
      <c r="Q58">
        <v>3</v>
      </c>
      <c r="R58">
        <v>7</v>
      </c>
      <c r="S58">
        <v>10</v>
      </c>
      <c r="T58">
        <f t="shared" ref="T58:T102" si="2">IF(SUM(M58:P58) &gt; L58, 1, 0)</f>
        <v>0</v>
      </c>
    </row>
    <row r="59" spans="1:20" x14ac:dyDescent="0.2">
      <c r="A59">
        <v>58</v>
      </c>
      <c r="B59" t="s">
        <v>17</v>
      </c>
      <c r="C59" t="s">
        <v>22</v>
      </c>
      <c r="D59" t="s">
        <v>92</v>
      </c>
      <c r="E59">
        <v>19240107201</v>
      </c>
      <c r="F59" t="s">
        <v>35</v>
      </c>
      <c r="G59" t="s">
        <v>24</v>
      </c>
      <c r="H59" t="s">
        <v>44</v>
      </c>
      <c r="I59">
        <v>40</v>
      </c>
      <c r="J59">
        <v>23</v>
      </c>
      <c r="K59">
        <v>63</v>
      </c>
      <c r="L59">
        <v>38</v>
      </c>
      <c r="M59">
        <v>5</v>
      </c>
      <c r="N59">
        <v>10</v>
      </c>
      <c r="O59">
        <v>10</v>
      </c>
      <c r="P59">
        <v>8</v>
      </c>
      <c r="Q59">
        <v>4</v>
      </c>
      <c r="R59">
        <v>4</v>
      </c>
      <c r="S59">
        <v>8</v>
      </c>
      <c r="T59">
        <f t="shared" si="2"/>
        <v>0</v>
      </c>
    </row>
    <row r="60" spans="1:20" x14ac:dyDescent="0.2">
      <c r="A60">
        <v>59</v>
      </c>
      <c r="B60" t="s">
        <v>17</v>
      </c>
      <c r="C60" t="s">
        <v>22</v>
      </c>
      <c r="D60" t="s">
        <v>93</v>
      </c>
      <c r="E60">
        <v>19240102501</v>
      </c>
      <c r="F60" t="s">
        <v>37</v>
      </c>
      <c r="G60" t="s">
        <v>23</v>
      </c>
      <c r="H60" t="s">
        <v>43</v>
      </c>
      <c r="I60">
        <v>20</v>
      </c>
      <c r="J60">
        <v>33</v>
      </c>
      <c r="K60">
        <v>53</v>
      </c>
      <c r="L60">
        <v>29</v>
      </c>
      <c r="M60">
        <v>9</v>
      </c>
      <c r="N60">
        <v>6</v>
      </c>
      <c r="O60">
        <v>9</v>
      </c>
      <c r="P60">
        <v>6</v>
      </c>
      <c r="Q60">
        <v>1</v>
      </c>
      <c r="R60">
        <v>8</v>
      </c>
      <c r="S60">
        <v>9</v>
      </c>
      <c r="T60">
        <f t="shared" si="2"/>
        <v>1</v>
      </c>
    </row>
    <row r="61" spans="1:20" x14ac:dyDescent="0.2">
      <c r="A61">
        <v>60</v>
      </c>
      <c r="B61" t="s">
        <v>17</v>
      </c>
      <c r="C61" t="s">
        <v>22</v>
      </c>
      <c r="D61" t="s">
        <v>94</v>
      </c>
      <c r="E61">
        <v>19240107101</v>
      </c>
      <c r="F61" t="s">
        <v>36</v>
      </c>
      <c r="G61" t="s">
        <v>40</v>
      </c>
      <c r="H61" t="s">
        <v>42</v>
      </c>
      <c r="I61">
        <v>38</v>
      </c>
      <c r="J61">
        <v>37</v>
      </c>
      <c r="K61">
        <v>75</v>
      </c>
      <c r="L61">
        <v>53</v>
      </c>
      <c r="M61">
        <v>8</v>
      </c>
      <c r="N61">
        <v>5</v>
      </c>
      <c r="O61">
        <v>9</v>
      </c>
      <c r="P61">
        <v>10</v>
      </c>
      <c r="Q61">
        <v>10</v>
      </c>
      <c r="R61">
        <v>5</v>
      </c>
      <c r="S61">
        <v>15</v>
      </c>
      <c r="T61">
        <f t="shared" si="2"/>
        <v>0</v>
      </c>
    </row>
    <row r="62" spans="1:20" x14ac:dyDescent="0.2">
      <c r="A62">
        <v>61</v>
      </c>
      <c r="B62" t="s">
        <v>17</v>
      </c>
      <c r="C62" t="s">
        <v>22</v>
      </c>
      <c r="D62" t="s">
        <v>95</v>
      </c>
      <c r="E62">
        <v>19240101802</v>
      </c>
      <c r="F62" t="s">
        <v>35</v>
      </c>
      <c r="G62" t="s">
        <v>23</v>
      </c>
      <c r="H62" t="s">
        <v>41</v>
      </c>
      <c r="I62">
        <v>31</v>
      </c>
      <c r="J62">
        <v>24</v>
      </c>
      <c r="K62">
        <v>55</v>
      </c>
      <c r="L62">
        <v>26</v>
      </c>
      <c r="M62">
        <v>9</v>
      </c>
      <c r="N62">
        <v>10</v>
      </c>
      <c r="O62">
        <v>10</v>
      </c>
      <c r="P62">
        <v>10</v>
      </c>
      <c r="Q62">
        <v>2</v>
      </c>
      <c r="R62">
        <v>6</v>
      </c>
      <c r="S62">
        <v>8</v>
      </c>
      <c r="T62">
        <f t="shared" si="2"/>
        <v>1</v>
      </c>
    </row>
    <row r="63" spans="1:20" x14ac:dyDescent="0.2">
      <c r="A63">
        <v>62</v>
      </c>
      <c r="B63" t="s">
        <v>17</v>
      </c>
      <c r="C63" t="s">
        <v>22</v>
      </c>
      <c r="D63" t="s">
        <v>96</v>
      </c>
      <c r="E63">
        <v>19240105001</v>
      </c>
      <c r="F63" t="s">
        <v>36</v>
      </c>
      <c r="G63" t="s">
        <v>38</v>
      </c>
      <c r="H63" t="s">
        <v>42</v>
      </c>
      <c r="I63">
        <v>25</v>
      </c>
      <c r="J63">
        <v>26</v>
      </c>
      <c r="K63">
        <v>51</v>
      </c>
      <c r="L63">
        <v>30</v>
      </c>
      <c r="M63">
        <v>9</v>
      </c>
      <c r="N63">
        <v>5</v>
      </c>
      <c r="O63">
        <v>7</v>
      </c>
      <c r="P63">
        <v>7</v>
      </c>
      <c r="Q63">
        <v>3</v>
      </c>
      <c r="R63">
        <v>9</v>
      </c>
      <c r="S63">
        <v>12</v>
      </c>
      <c r="T63">
        <f t="shared" si="2"/>
        <v>0</v>
      </c>
    </row>
    <row r="64" spans="1:20" x14ac:dyDescent="0.2">
      <c r="A64">
        <v>63</v>
      </c>
      <c r="B64" t="s">
        <v>17</v>
      </c>
      <c r="C64" t="s">
        <v>22</v>
      </c>
      <c r="D64" t="s">
        <v>97</v>
      </c>
      <c r="E64">
        <v>19240107301</v>
      </c>
      <c r="F64" t="s">
        <v>36</v>
      </c>
      <c r="G64" t="s">
        <v>39</v>
      </c>
      <c r="H64" t="s">
        <v>41</v>
      </c>
      <c r="I64">
        <v>28</v>
      </c>
      <c r="J64">
        <v>36</v>
      </c>
      <c r="K64">
        <v>64</v>
      </c>
      <c r="L64">
        <v>46</v>
      </c>
      <c r="M64">
        <v>8</v>
      </c>
      <c r="N64">
        <v>5</v>
      </c>
      <c r="O64">
        <v>5</v>
      </c>
      <c r="P64">
        <v>7</v>
      </c>
      <c r="Q64">
        <v>6</v>
      </c>
      <c r="R64">
        <v>4</v>
      </c>
      <c r="S64">
        <v>10</v>
      </c>
      <c r="T64">
        <f t="shared" si="2"/>
        <v>0</v>
      </c>
    </row>
    <row r="65" spans="1:20" x14ac:dyDescent="0.2">
      <c r="A65">
        <v>64</v>
      </c>
      <c r="B65" t="s">
        <v>17</v>
      </c>
      <c r="C65" t="s">
        <v>509</v>
      </c>
      <c r="D65" t="s">
        <v>98</v>
      </c>
      <c r="E65">
        <v>19240400401</v>
      </c>
      <c r="F65" t="s">
        <v>36</v>
      </c>
      <c r="G65" t="s">
        <v>24</v>
      </c>
      <c r="H65" t="s">
        <v>42</v>
      </c>
      <c r="I65">
        <v>25</v>
      </c>
      <c r="J65">
        <v>36</v>
      </c>
      <c r="K65">
        <v>61</v>
      </c>
      <c r="L65">
        <v>35</v>
      </c>
      <c r="M65">
        <v>9</v>
      </c>
      <c r="N65">
        <v>7</v>
      </c>
      <c r="O65">
        <v>10</v>
      </c>
      <c r="P65">
        <v>5</v>
      </c>
      <c r="Q65">
        <v>7</v>
      </c>
      <c r="R65">
        <v>10</v>
      </c>
      <c r="S65">
        <v>17</v>
      </c>
      <c r="T65">
        <f t="shared" si="2"/>
        <v>0</v>
      </c>
    </row>
    <row r="66" spans="1:20" x14ac:dyDescent="0.2">
      <c r="A66">
        <v>65</v>
      </c>
      <c r="B66" t="s">
        <v>17</v>
      </c>
      <c r="C66" t="s">
        <v>22</v>
      </c>
      <c r="D66" t="s">
        <v>99</v>
      </c>
      <c r="E66">
        <v>19240105101</v>
      </c>
      <c r="F66" t="s">
        <v>35</v>
      </c>
      <c r="G66" t="s">
        <v>38</v>
      </c>
      <c r="H66" t="s">
        <v>43</v>
      </c>
      <c r="I66">
        <v>37</v>
      </c>
      <c r="J66">
        <v>34</v>
      </c>
      <c r="K66">
        <v>71</v>
      </c>
      <c r="L66">
        <v>49</v>
      </c>
      <c r="M66">
        <v>7</v>
      </c>
      <c r="N66">
        <v>8</v>
      </c>
      <c r="O66">
        <v>7</v>
      </c>
      <c r="P66">
        <v>8</v>
      </c>
      <c r="Q66">
        <v>3</v>
      </c>
      <c r="R66">
        <v>5</v>
      </c>
      <c r="S66">
        <v>8</v>
      </c>
      <c r="T66">
        <f t="shared" si="2"/>
        <v>0</v>
      </c>
    </row>
    <row r="67" spans="1:20" x14ac:dyDescent="0.2">
      <c r="A67">
        <v>66</v>
      </c>
      <c r="B67" t="s">
        <v>17</v>
      </c>
      <c r="C67" t="s">
        <v>22</v>
      </c>
      <c r="D67" t="s">
        <v>100</v>
      </c>
      <c r="E67">
        <v>19240107001</v>
      </c>
      <c r="F67" t="s">
        <v>36</v>
      </c>
      <c r="G67" t="s">
        <v>39</v>
      </c>
      <c r="H67" t="s">
        <v>42</v>
      </c>
      <c r="I67">
        <v>34</v>
      </c>
      <c r="J67">
        <v>22</v>
      </c>
      <c r="K67">
        <v>56</v>
      </c>
      <c r="L67">
        <v>38</v>
      </c>
      <c r="M67">
        <v>5</v>
      </c>
      <c r="N67">
        <v>7</v>
      </c>
      <c r="O67">
        <v>6</v>
      </c>
      <c r="P67">
        <v>5</v>
      </c>
      <c r="Q67">
        <v>5</v>
      </c>
      <c r="R67">
        <v>8</v>
      </c>
      <c r="S67">
        <v>13</v>
      </c>
      <c r="T67">
        <f t="shared" si="2"/>
        <v>0</v>
      </c>
    </row>
    <row r="68" spans="1:20" x14ac:dyDescent="0.2">
      <c r="A68">
        <v>67</v>
      </c>
      <c r="B68" t="s">
        <v>17</v>
      </c>
      <c r="C68" t="s">
        <v>22</v>
      </c>
      <c r="D68" t="s">
        <v>101</v>
      </c>
      <c r="E68">
        <v>19240107202</v>
      </c>
      <c r="F68" t="s">
        <v>37</v>
      </c>
      <c r="G68" t="s">
        <v>24</v>
      </c>
      <c r="H68" t="s">
        <v>42</v>
      </c>
      <c r="I68">
        <v>40</v>
      </c>
      <c r="J68">
        <v>33</v>
      </c>
      <c r="K68">
        <v>73</v>
      </c>
      <c r="L68">
        <v>52</v>
      </c>
      <c r="M68">
        <v>7</v>
      </c>
      <c r="N68">
        <v>5</v>
      </c>
      <c r="O68">
        <v>9</v>
      </c>
      <c r="P68">
        <v>7</v>
      </c>
      <c r="Q68">
        <v>9</v>
      </c>
      <c r="R68">
        <v>6</v>
      </c>
      <c r="S68">
        <v>15</v>
      </c>
      <c r="T68">
        <f t="shared" si="2"/>
        <v>0</v>
      </c>
    </row>
    <row r="69" spans="1:20" x14ac:dyDescent="0.2">
      <c r="A69">
        <v>68</v>
      </c>
      <c r="B69" t="s">
        <v>17</v>
      </c>
      <c r="C69" t="s">
        <v>22</v>
      </c>
      <c r="D69" t="s">
        <v>102</v>
      </c>
      <c r="E69">
        <v>19240101901</v>
      </c>
      <c r="F69" t="s">
        <v>35</v>
      </c>
      <c r="G69" t="s">
        <v>24</v>
      </c>
      <c r="H69" t="s">
        <v>44</v>
      </c>
      <c r="I69">
        <v>24</v>
      </c>
      <c r="J69">
        <v>34</v>
      </c>
      <c r="K69">
        <v>58</v>
      </c>
      <c r="L69">
        <v>34</v>
      </c>
      <c r="M69">
        <v>10</v>
      </c>
      <c r="N69">
        <v>6</v>
      </c>
      <c r="O69">
        <v>8</v>
      </c>
      <c r="P69">
        <v>9</v>
      </c>
      <c r="Q69">
        <v>1</v>
      </c>
      <c r="R69">
        <v>8</v>
      </c>
      <c r="S69">
        <v>9</v>
      </c>
      <c r="T69">
        <f t="shared" si="2"/>
        <v>0</v>
      </c>
    </row>
    <row r="70" spans="1:20" x14ac:dyDescent="0.2">
      <c r="A70">
        <v>69</v>
      </c>
      <c r="B70" t="s">
        <v>17</v>
      </c>
      <c r="C70" t="s">
        <v>22</v>
      </c>
      <c r="D70" t="s">
        <v>103</v>
      </c>
      <c r="E70">
        <v>19240102101</v>
      </c>
      <c r="F70" t="s">
        <v>37</v>
      </c>
      <c r="G70" t="s">
        <v>23</v>
      </c>
      <c r="H70" t="s">
        <v>43</v>
      </c>
      <c r="I70">
        <v>36</v>
      </c>
      <c r="J70">
        <v>28</v>
      </c>
      <c r="K70">
        <v>64</v>
      </c>
      <c r="L70">
        <v>39</v>
      </c>
      <c r="M70">
        <v>9</v>
      </c>
      <c r="N70">
        <v>9</v>
      </c>
      <c r="O70">
        <v>7</v>
      </c>
      <c r="P70">
        <v>5</v>
      </c>
      <c r="Q70">
        <v>7</v>
      </c>
      <c r="R70">
        <v>0</v>
      </c>
      <c r="S70">
        <v>7</v>
      </c>
      <c r="T70">
        <f t="shared" si="2"/>
        <v>0</v>
      </c>
    </row>
    <row r="71" spans="1:20" x14ac:dyDescent="0.2">
      <c r="A71">
        <v>70</v>
      </c>
      <c r="B71" t="s">
        <v>17</v>
      </c>
      <c r="C71" t="s">
        <v>22</v>
      </c>
      <c r="D71" t="s">
        <v>104</v>
      </c>
      <c r="E71">
        <v>19240101003</v>
      </c>
      <c r="F71" t="s">
        <v>36</v>
      </c>
      <c r="G71" t="s">
        <v>40</v>
      </c>
      <c r="H71" t="s">
        <v>42</v>
      </c>
      <c r="I71">
        <v>27</v>
      </c>
      <c r="J71">
        <v>28</v>
      </c>
      <c r="K71">
        <v>55</v>
      </c>
      <c r="L71">
        <v>35</v>
      </c>
      <c r="M71">
        <v>8</v>
      </c>
      <c r="N71">
        <v>6</v>
      </c>
      <c r="O71">
        <v>6</v>
      </c>
      <c r="P71">
        <v>6</v>
      </c>
      <c r="Q71">
        <v>5</v>
      </c>
      <c r="R71">
        <v>9</v>
      </c>
      <c r="S71">
        <v>14</v>
      </c>
      <c r="T71">
        <f t="shared" si="2"/>
        <v>0</v>
      </c>
    </row>
    <row r="72" spans="1:20" x14ac:dyDescent="0.2">
      <c r="A72">
        <v>71</v>
      </c>
      <c r="B72" t="s">
        <v>17</v>
      </c>
      <c r="C72" t="s">
        <v>22</v>
      </c>
      <c r="D72" t="s">
        <v>105</v>
      </c>
      <c r="E72">
        <v>19240103702</v>
      </c>
      <c r="F72" t="s">
        <v>35</v>
      </c>
      <c r="G72" t="s">
        <v>23</v>
      </c>
      <c r="H72" t="s">
        <v>41</v>
      </c>
      <c r="I72">
        <v>25</v>
      </c>
      <c r="J72">
        <v>35</v>
      </c>
      <c r="K72">
        <v>60</v>
      </c>
      <c r="L72">
        <v>33</v>
      </c>
      <c r="M72">
        <v>8</v>
      </c>
      <c r="N72">
        <v>10</v>
      </c>
      <c r="O72">
        <v>9</v>
      </c>
      <c r="P72">
        <v>10</v>
      </c>
      <c r="Q72">
        <v>3</v>
      </c>
      <c r="R72">
        <v>6</v>
      </c>
      <c r="S72">
        <v>9</v>
      </c>
      <c r="T72">
        <f t="shared" si="2"/>
        <v>1</v>
      </c>
    </row>
    <row r="73" spans="1:20" x14ac:dyDescent="0.2">
      <c r="A73">
        <v>72</v>
      </c>
      <c r="B73" t="s">
        <v>17</v>
      </c>
      <c r="C73" t="s">
        <v>22</v>
      </c>
      <c r="D73" t="s">
        <v>106</v>
      </c>
      <c r="E73">
        <v>19240106203</v>
      </c>
      <c r="F73" t="s">
        <v>36</v>
      </c>
      <c r="G73" t="s">
        <v>38</v>
      </c>
      <c r="H73" t="s">
        <v>42</v>
      </c>
      <c r="I73">
        <v>28</v>
      </c>
      <c r="J73">
        <v>22</v>
      </c>
      <c r="K73">
        <v>50</v>
      </c>
      <c r="L73">
        <v>26</v>
      </c>
      <c r="M73">
        <v>9</v>
      </c>
      <c r="N73">
        <v>9</v>
      </c>
      <c r="O73">
        <v>6</v>
      </c>
      <c r="P73">
        <v>9</v>
      </c>
      <c r="Q73">
        <v>8</v>
      </c>
      <c r="R73">
        <v>10</v>
      </c>
      <c r="S73">
        <v>18</v>
      </c>
      <c r="T73">
        <f t="shared" si="2"/>
        <v>1</v>
      </c>
    </row>
    <row r="74" spans="1:20" x14ac:dyDescent="0.2">
      <c r="A74">
        <v>73</v>
      </c>
      <c r="B74" t="s">
        <v>17</v>
      </c>
      <c r="C74" t="s">
        <v>22</v>
      </c>
      <c r="D74" t="s">
        <v>107</v>
      </c>
      <c r="E74">
        <v>19240106501</v>
      </c>
      <c r="F74" t="s">
        <v>36</v>
      </c>
      <c r="G74" t="s">
        <v>39</v>
      </c>
      <c r="H74" t="s">
        <v>41</v>
      </c>
      <c r="I74">
        <v>27</v>
      </c>
      <c r="J74">
        <v>28</v>
      </c>
      <c r="K74">
        <v>55</v>
      </c>
      <c r="L74">
        <v>33</v>
      </c>
      <c r="M74">
        <v>5</v>
      </c>
      <c r="N74">
        <v>10</v>
      </c>
      <c r="O74">
        <v>7</v>
      </c>
      <c r="P74">
        <v>10</v>
      </c>
      <c r="Q74">
        <v>2</v>
      </c>
      <c r="R74">
        <v>7</v>
      </c>
      <c r="S74">
        <v>9</v>
      </c>
      <c r="T74">
        <f t="shared" si="2"/>
        <v>0</v>
      </c>
    </row>
    <row r="75" spans="1:20" x14ac:dyDescent="0.2">
      <c r="A75">
        <v>74</v>
      </c>
      <c r="B75" t="s">
        <v>17</v>
      </c>
      <c r="C75" t="s">
        <v>22</v>
      </c>
      <c r="D75" t="s">
        <v>108</v>
      </c>
      <c r="E75">
        <v>19240100301</v>
      </c>
      <c r="F75" t="s">
        <v>36</v>
      </c>
      <c r="G75" t="s">
        <v>24</v>
      </c>
      <c r="H75" t="s">
        <v>42</v>
      </c>
      <c r="I75">
        <v>31</v>
      </c>
      <c r="J75">
        <v>28</v>
      </c>
      <c r="K75">
        <v>59</v>
      </c>
      <c r="L75">
        <v>41</v>
      </c>
      <c r="M75">
        <v>6</v>
      </c>
      <c r="N75">
        <v>7</v>
      </c>
      <c r="O75">
        <v>5</v>
      </c>
      <c r="P75">
        <v>9</v>
      </c>
      <c r="Q75">
        <v>6</v>
      </c>
      <c r="R75">
        <v>6</v>
      </c>
      <c r="S75">
        <v>12</v>
      </c>
      <c r="T75">
        <f t="shared" si="2"/>
        <v>0</v>
      </c>
    </row>
    <row r="76" spans="1:20" x14ac:dyDescent="0.2">
      <c r="A76">
        <v>75</v>
      </c>
      <c r="B76" t="s">
        <v>17</v>
      </c>
      <c r="C76" t="s">
        <v>22</v>
      </c>
      <c r="D76" t="s">
        <v>109</v>
      </c>
      <c r="E76">
        <v>19240104202</v>
      </c>
      <c r="F76" t="s">
        <v>35</v>
      </c>
      <c r="G76" t="s">
        <v>38</v>
      </c>
      <c r="H76" t="s">
        <v>43</v>
      </c>
      <c r="I76">
        <v>23</v>
      </c>
      <c r="J76">
        <v>37</v>
      </c>
      <c r="K76">
        <v>60</v>
      </c>
      <c r="L76">
        <v>41</v>
      </c>
      <c r="M76">
        <v>5</v>
      </c>
      <c r="N76">
        <v>6</v>
      </c>
      <c r="O76">
        <v>8</v>
      </c>
      <c r="P76">
        <v>9</v>
      </c>
      <c r="Q76">
        <v>0</v>
      </c>
      <c r="R76">
        <v>2</v>
      </c>
      <c r="S76">
        <v>2</v>
      </c>
      <c r="T76">
        <f t="shared" si="2"/>
        <v>0</v>
      </c>
    </row>
    <row r="77" spans="1:20" x14ac:dyDescent="0.2">
      <c r="A77">
        <v>76</v>
      </c>
      <c r="B77" t="s">
        <v>17</v>
      </c>
      <c r="C77" t="s">
        <v>22</v>
      </c>
      <c r="D77" t="s">
        <v>110</v>
      </c>
      <c r="E77">
        <v>19240104604</v>
      </c>
      <c r="F77" t="s">
        <v>36</v>
      </c>
      <c r="G77" t="s">
        <v>39</v>
      </c>
      <c r="H77" t="s">
        <v>42</v>
      </c>
      <c r="I77">
        <v>30</v>
      </c>
      <c r="J77">
        <v>35</v>
      </c>
      <c r="K77">
        <v>65</v>
      </c>
      <c r="L77">
        <v>42</v>
      </c>
      <c r="M77">
        <v>5</v>
      </c>
      <c r="N77">
        <v>8</v>
      </c>
      <c r="O77">
        <v>10</v>
      </c>
      <c r="P77">
        <v>6</v>
      </c>
      <c r="Q77">
        <v>5</v>
      </c>
      <c r="R77">
        <v>2</v>
      </c>
      <c r="S77">
        <v>7</v>
      </c>
      <c r="T77">
        <f t="shared" si="2"/>
        <v>0</v>
      </c>
    </row>
    <row r="78" spans="1:20" x14ac:dyDescent="0.2">
      <c r="A78">
        <v>77</v>
      </c>
      <c r="B78" t="s">
        <v>17</v>
      </c>
      <c r="C78" t="s">
        <v>22</v>
      </c>
      <c r="D78" t="s">
        <v>111</v>
      </c>
      <c r="E78">
        <v>19240107501</v>
      </c>
      <c r="F78" t="s">
        <v>37</v>
      </c>
      <c r="G78" t="s">
        <v>24</v>
      </c>
      <c r="H78" t="s">
        <v>42</v>
      </c>
      <c r="I78">
        <v>29</v>
      </c>
      <c r="J78">
        <v>24</v>
      </c>
      <c r="K78">
        <v>53</v>
      </c>
      <c r="L78">
        <v>33</v>
      </c>
      <c r="M78">
        <v>8</v>
      </c>
      <c r="N78">
        <v>6</v>
      </c>
      <c r="O78">
        <v>6</v>
      </c>
      <c r="P78">
        <v>7</v>
      </c>
      <c r="Q78">
        <v>0</v>
      </c>
      <c r="R78">
        <v>10</v>
      </c>
      <c r="S78">
        <v>10</v>
      </c>
      <c r="T78">
        <f t="shared" si="2"/>
        <v>0</v>
      </c>
    </row>
    <row r="79" spans="1:20" x14ac:dyDescent="0.2">
      <c r="A79">
        <v>78</v>
      </c>
      <c r="B79" t="s">
        <v>17</v>
      </c>
      <c r="C79" t="s">
        <v>22</v>
      </c>
      <c r="D79" t="s">
        <v>112</v>
      </c>
      <c r="E79">
        <v>19240103101</v>
      </c>
      <c r="F79" t="s">
        <v>35</v>
      </c>
      <c r="G79" t="s">
        <v>24</v>
      </c>
      <c r="H79" t="s">
        <v>44</v>
      </c>
      <c r="I79">
        <v>32</v>
      </c>
      <c r="J79">
        <v>38</v>
      </c>
      <c r="K79">
        <v>70</v>
      </c>
      <c r="L79">
        <v>41</v>
      </c>
      <c r="M79">
        <v>10</v>
      </c>
      <c r="N79">
        <v>9</v>
      </c>
      <c r="O79">
        <v>10</v>
      </c>
      <c r="P79">
        <v>6</v>
      </c>
      <c r="Q79">
        <v>1</v>
      </c>
      <c r="R79">
        <v>1</v>
      </c>
      <c r="S79">
        <v>2</v>
      </c>
      <c r="T79">
        <f t="shared" si="2"/>
        <v>0</v>
      </c>
    </row>
    <row r="80" spans="1:20" x14ac:dyDescent="0.2">
      <c r="A80">
        <v>79</v>
      </c>
      <c r="B80" t="s">
        <v>17</v>
      </c>
      <c r="C80" t="s">
        <v>22</v>
      </c>
      <c r="D80" t="s">
        <v>113</v>
      </c>
      <c r="E80">
        <v>19240104603</v>
      </c>
      <c r="F80" t="s">
        <v>37</v>
      </c>
      <c r="G80" t="s">
        <v>23</v>
      </c>
      <c r="H80" t="s">
        <v>43</v>
      </c>
      <c r="I80">
        <v>33</v>
      </c>
      <c r="J80">
        <v>29</v>
      </c>
      <c r="K80">
        <v>62</v>
      </c>
      <c r="L80">
        <v>40</v>
      </c>
      <c r="M80">
        <v>6</v>
      </c>
      <c r="N80">
        <v>7</v>
      </c>
      <c r="O80">
        <v>9</v>
      </c>
      <c r="P80">
        <v>10</v>
      </c>
      <c r="Q80">
        <v>0</v>
      </c>
      <c r="R80">
        <v>3</v>
      </c>
      <c r="S80">
        <v>3</v>
      </c>
      <c r="T80">
        <f t="shared" si="2"/>
        <v>0</v>
      </c>
    </row>
    <row r="81" spans="1:20" x14ac:dyDescent="0.2">
      <c r="A81">
        <v>80</v>
      </c>
      <c r="B81" t="s">
        <v>17</v>
      </c>
      <c r="C81" t="s">
        <v>22</v>
      </c>
      <c r="D81" t="s">
        <v>114</v>
      </c>
      <c r="E81">
        <v>19240103601</v>
      </c>
      <c r="F81" t="s">
        <v>36</v>
      </c>
      <c r="G81" t="s">
        <v>40</v>
      </c>
      <c r="H81" t="s">
        <v>42</v>
      </c>
      <c r="I81">
        <v>22</v>
      </c>
      <c r="J81">
        <v>40</v>
      </c>
      <c r="K81">
        <v>62</v>
      </c>
      <c r="L81">
        <v>40</v>
      </c>
      <c r="M81">
        <v>9</v>
      </c>
      <c r="N81">
        <v>6</v>
      </c>
      <c r="O81">
        <v>7</v>
      </c>
      <c r="P81">
        <v>6</v>
      </c>
      <c r="Q81">
        <v>0</v>
      </c>
      <c r="R81">
        <v>3</v>
      </c>
      <c r="S81">
        <v>3</v>
      </c>
      <c r="T81">
        <f t="shared" si="2"/>
        <v>0</v>
      </c>
    </row>
    <row r="82" spans="1:20" x14ac:dyDescent="0.2">
      <c r="A82">
        <v>81</v>
      </c>
      <c r="B82" t="s">
        <v>17</v>
      </c>
      <c r="C82" t="s">
        <v>22</v>
      </c>
      <c r="D82" t="s">
        <v>115</v>
      </c>
      <c r="E82">
        <v>19240106602</v>
      </c>
      <c r="F82" t="s">
        <v>35</v>
      </c>
      <c r="G82" t="s">
        <v>23</v>
      </c>
      <c r="H82" t="s">
        <v>41</v>
      </c>
      <c r="I82">
        <v>32</v>
      </c>
      <c r="J82">
        <v>39</v>
      </c>
      <c r="K82">
        <v>71</v>
      </c>
      <c r="L82">
        <v>52</v>
      </c>
      <c r="M82">
        <v>5</v>
      </c>
      <c r="N82">
        <v>9</v>
      </c>
      <c r="O82">
        <v>5</v>
      </c>
      <c r="P82">
        <v>7</v>
      </c>
      <c r="Q82">
        <v>0</v>
      </c>
      <c r="R82">
        <v>1</v>
      </c>
      <c r="S82">
        <v>1</v>
      </c>
      <c r="T82">
        <f t="shared" si="2"/>
        <v>0</v>
      </c>
    </row>
    <row r="83" spans="1:20" x14ac:dyDescent="0.2">
      <c r="A83">
        <v>82</v>
      </c>
      <c r="B83" t="s">
        <v>17</v>
      </c>
      <c r="C83" t="s">
        <v>22</v>
      </c>
      <c r="D83" t="s">
        <v>116</v>
      </c>
      <c r="E83">
        <v>19240100601</v>
      </c>
      <c r="F83" t="s">
        <v>36</v>
      </c>
      <c r="G83" t="s">
        <v>38</v>
      </c>
      <c r="H83" t="s">
        <v>42</v>
      </c>
      <c r="I83">
        <v>36</v>
      </c>
      <c r="J83">
        <v>27</v>
      </c>
      <c r="K83">
        <v>63</v>
      </c>
      <c r="L83">
        <v>38</v>
      </c>
      <c r="M83">
        <v>6</v>
      </c>
      <c r="N83">
        <v>9</v>
      </c>
      <c r="O83">
        <v>10</v>
      </c>
      <c r="P83">
        <v>5</v>
      </c>
      <c r="Q83">
        <v>9</v>
      </c>
      <c r="R83">
        <v>6</v>
      </c>
      <c r="S83">
        <v>15</v>
      </c>
      <c r="T83">
        <f t="shared" si="2"/>
        <v>0</v>
      </c>
    </row>
    <row r="84" spans="1:20" x14ac:dyDescent="0.2">
      <c r="A84">
        <v>83</v>
      </c>
      <c r="B84" t="s">
        <v>17</v>
      </c>
      <c r="C84" t="s">
        <v>22</v>
      </c>
      <c r="D84" t="s">
        <v>117</v>
      </c>
      <c r="E84">
        <v>19240103001</v>
      </c>
      <c r="F84" t="s">
        <v>36</v>
      </c>
      <c r="G84" t="s">
        <v>39</v>
      </c>
      <c r="H84" t="s">
        <v>41</v>
      </c>
      <c r="I84">
        <v>32</v>
      </c>
      <c r="J84">
        <v>27</v>
      </c>
      <c r="K84">
        <v>59</v>
      </c>
      <c r="L84">
        <v>32</v>
      </c>
      <c r="M84">
        <v>8</v>
      </c>
      <c r="N84">
        <v>10</v>
      </c>
      <c r="O84">
        <v>9</v>
      </c>
      <c r="P84">
        <v>9</v>
      </c>
      <c r="Q84">
        <v>4</v>
      </c>
      <c r="R84">
        <v>0</v>
      </c>
      <c r="S84">
        <v>4</v>
      </c>
      <c r="T84">
        <f t="shared" si="2"/>
        <v>1</v>
      </c>
    </row>
    <row r="85" spans="1:20" x14ac:dyDescent="0.2">
      <c r="A85">
        <v>84</v>
      </c>
      <c r="B85" t="s">
        <v>17</v>
      </c>
      <c r="C85" t="s">
        <v>22</v>
      </c>
      <c r="D85" t="s">
        <v>118</v>
      </c>
      <c r="E85">
        <v>19240103501</v>
      </c>
      <c r="F85" t="s">
        <v>36</v>
      </c>
      <c r="G85" t="s">
        <v>24</v>
      </c>
      <c r="H85" t="s">
        <v>42</v>
      </c>
      <c r="I85">
        <v>35</v>
      </c>
      <c r="J85">
        <v>31</v>
      </c>
      <c r="K85">
        <v>66</v>
      </c>
      <c r="L85">
        <v>41</v>
      </c>
      <c r="M85">
        <v>9</v>
      </c>
      <c r="N85">
        <v>6</v>
      </c>
      <c r="O85">
        <v>10</v>
      </c>
      <c r="P85">
        <v>8</v>
      </c>
      <c r="Q85">
        <v>10</v>
      </c>
      <c r="R85">
        <v>0</v>
      </c>
      <c r="S85">
        <v>10</v>
      </c>
      <c r="T85">
        <f t="shared" si="2"/>
        <v>0</v>
      </c>
    </row>
    <row r="86" spans="1:20" x14ac:dyDescent="0.2">
      <c r="A86">
        <v>85</v>
      </c>
      <c r="B86" t="s">
        <v>17</v>
      </c>
      <c r="C86" t="s">
        <v>22</v>
      </c>
      <c r="D86" t="s">
        <v>119</v>
      </c>
      <c r="E86">
        <v>19240103401</v>
      </c>
      <c r="F86" t="s">
        <v>35</v>
      </c>
      <c r="G86" t="s">
        <v>38</v>
      </c>
      <c r="H86" t="s">
        <v>43</v>
      </c>
      <c r="I86">
        <v>32</v>
      </c>
      <c r="J86">
        <v>32</v>
      </c>
      <c r="K86">
        <v>64</v>
      </c>
      <c r="L86">
        <v>36</v>
      </c>
      <c r="M86">
        <v>10</v>
      </c>
      <c r="N86">
        <v>8</v>
      </c>
      <c r="O86">
        <v>10</v>
      </c>
      <c r="P86">
        <v>9</v>
      </c>
      <c r="Q86">
        <v>5</v>
      </c>
      <c r="R86">
        <v>9</v>
      </c>
      <c r="S86">
        <v>14</v>
      </c>
      <c r="T86">
        <f t="shared" si="2"/>
        <v>1</v>
      </c>
    </row>
    <row r="87" spans="1:20" x14ac:dyDescent="0.2">
      <c r="A87">
        <v>86</v>
      </c>
      <c r="B87" t="s">
        <v>17</v>
      </c>
      <c r="C87" t="s">
        <v>22</v>
      </c>
      <c r="D87" t="s">
        <v>120</v>
      </c>
      <c r="E87">
        <v>19240101603</v>
      </c>
      <c r="F87" t="s">
        <v>36</v>
      </c>
      <c r="G87" t="s">
        <v>39</v>
      </c>
      <c r="H87" t="s">
        <v>42</v>
      </c>
      <c r="I87">
        <v>36</v>
      </c>
      <c r="J87">
        <v>29</v>
      </c>
      <c r="K87">
        <v>65</v>
      </c>
      <c r="L87">
        <v>42</v>
      </c>
      <c r="M87">
        <v>8</v>
      </c>
      <c r="N87">
        <v>10</v>
      </c>
      <c r="O87">
        <v>5</v>
      </c>
      <c r="P87">
        <v>7</v>
      </c>
      <c r="Q87">
        <v>5</v>
      </c>
      <c r="R87">
        <v>5</v>
      </c>
      <c r="S87">
        <v>10</v>
      </c>
      <c r="T87">
        <f t="shared" si="2"/>
        <v>0</v>
      </c>
    </row>
    <row r="88" spans="1:20" x14ac:dyDescent="0.2">
      <c r="A88">
        <v>87</v>
      </c>
      <c r="B88" t="s">
        <v>17</v>
      </c>
      <c r="C88" t="s">
        <v>22</v>
      </c>
      <c r="D88" t="s">
        <v>121</v>
      </c>
      <c r="E88">
        <v>19240101701</v>
      </c>
      <c r="F88" t="s">
        <v>37</v>
      </c>
      <c r="G88" t="s">
        <v>24</v>
      </c>
      <c r="H88" t="s">
        <v>42</v>
      </c>
      <c r="I88">
        <v>37</v>
      </c>
      <c r="J88">
        <v>38</v>
      </c>
      <c r="K88">
        <v>75</v>
      </c>
      <c r="L88">
        <v>53</v>
      </c>
      <c r="M88">
        <v>7</v>
      </c>
      <c r="N88">
        <v>9</v>
      </c>
      <c r="O88">
        <v>6</v>
      </c>
      <c r="P88">
        <v>7</v>
      </c>
      <c r="Q88">
        <v>6</v>
      </c>
      <c r="R88">
        <v>0</v>
      </c>
      <c r="S88">
        <v>6</v>
      </c>
      <c r="T88">
        <f t="shared" si="2"/>
        <v>0</v>
      </c>
    </row>
    <row r="89" spans="1:20" x14ac:dyDescent="0.2">
      <c r="A89">
        <v>88</v>
      </c>
      <c r="B89" t="s">
        <v>17</v>
      </c>
      <c r="C89" t="s">
        <v>22</v>
      </c>
      <c r="D89" t="s">
        <v>122</v>
      </c>
      <c r="E89">
        <v>19240104503</v>
      </c>
      <c r="F89" t="s">
        <v>35</v>
      </c>
      <c r="G89" t="s">
        <v>24</v>
      </c>
      <c r="H89" t="s">
        <v>44</v>
      </c>
      <c r="I89">
        <v>23</v>
      </c>
      <c r="J89">
        <v>23</v>
      </c>
      <c r="K89">
        <v>46</v>
      </c>
      <c r="L89">
        <v>22</v>
      </c>
      <c r="M89">
        <v>8</v>
      </c>
      <c r="N89">
        <v>10</v>
      </c>
      <c r="O89">
        <v>6</v>
      </c>
      <c r="P89">
        <v>5</v>
      </c>
      <c r="Q89">
        <v>6</v>
      </c>
      <c r="R89">
        <v>8</v>
      </c>
      <c r="S89">
        <v>14</v>
      </c>
      <c r="T89">
        <f t="shared" si="2"/>
        <v>1</v>
      </c>
    </row>
    <row r="90" spans="1:20" x14ac:dyDescent="0.2">
      <c r="A90">
        <v>89</v>
      </c>
      <c r="B90" t="s">
        <v>17</v>
      </c>
      <c r="C90" t="s">
        <v>22</v>
      </c>
      <c r="D90" t="s">
        <v>123</v>
      </c>
      <c r="E90">
        <v>19240100401</v>
      </c>
      <c r="F90" t="s">
        <v>37</v>
      </c>
      <c r="G90" t="s">
        <v>23</v>
      </c>
      <c r="H90" t="s">
        <v>43</v>
      </c>
      <c r="I90">
        <v>35</v>
      </c>
      <c r="J90">
        <v>39</v>
      </c>
      <c r="K90">
        <v>74</v>
      </c>
      <c r="L90">
        <v>52</v>
      </c>
      <c r="M90">
        <v>10</v>
      </c>
      <c r="N90">
        <v>5</v>
      </c>
      <c r="O90">
        <v>7</v>
      </c>
      <c r="P90">
        <v>6</v>
      </c>
      <c r="Q90">
        <v>7</v>
      </c>
      <c r="R90">
        <v>5</v>
      </c>
      <c r="S90">
        <v>12</v>
      </c>
      <c r="T90">
        <f t="shared" si="2"/>
        <v>0</v>
      </c>
    </row>
    <row r="91" spans="1:20" x14ac:dyDescent="0.2">
      <c r="A91">
        <v>90</v>
      </c>
      <c r="B91" t="s">
        <v>17</v>
      </c>
      <c r="C91" t="s">
        <v>22</v>
      </c>
      <c r="D91" t="s">
        <v>124</v>
      </c>
      <c r="E91">
        <v>19240100501</v>
      </c>
      <c r="F91" t="s">
        <v>36</v>
      </c>
      <c r="G91" t="s">
        <v>40</v>
      </c>
      <c r="H91" t="s">
        <v>42</v>
      </c>
      <c r="I91">
        <v>40</v>
      </c>
      <c r="J91">
        <v>25</v>
      </c>
      <c r="K91">
        <v>65</v>
      </c>
      <c r="L91">
        <v>41</v>
      </c>
      <c r="M91">
        <v>10</v>
      </c>
      <c r="N91">
        <v>5</v>
      </c>
      <c r="O91">
        <v>9</v>
      </c>
      <c r="P91">
        <v>5</v>
      </c>
      <c r="Q91">
        <v>10</v>
      </c>
      <c r="R91">
        <v>5</v>
      </c>
      <c r="S91">
        <v>15</v>
      </c>
      <c r="T91">
        <f t="shared" si="2"/>
        <v>0</v>
      </c>
    </row>
    <row r="92" spans="1:20" x14ac:dyDescent="0.2">
      <c r="A92">
        <v>91</v>
      </c>
      <c r="B92" t="s">
        <v>17</v>
      </c>
      <c r="C92" t="s">
        <v>22</v>
      </c>
      <c r="D92" t="s">
        <v>125</v>
      </c>
      <c r="E92">
        <v>19240101801</v>
      </c>
      <c r="F92" t="s">
        <v>35</v>
      </c>
      <c r="G92" t="s">
        <v>23</v>
      </c>
      <c r="H92" t="s">
        <v>41</v>
      </c>
      <c r="I92">
        <v>22</v>
      </c>
      <c r="J92">
        <v>28</v>
      </c>
      <c r="K92">
        <v>50</v>
      </c>
      <c r="L92">
        <v>23</v>
      </c>
      <c r="M92">
        <v>10</v>
      </c>
      <c r="N92">
        <v>10</v>
      </c>
      <c r="O92">
        <v>7</v>
      </c>
      <c r="P92">
        <v>5</v>
      </c>
      <c r="Q92">
        <v>8</v>
      </c>
      <c r="R92">
        <v>1</v>
      </c>
      <c r="S92">
        <v>9</v>
      </c>
      <c r="T92">
        <f t="shared" si="2"/>
        <v>1</v>
      </c>
    </row>
    <row r="93" spans="1:20" x14ac:dyDescent="0.2">
      <c r="A93">
        <v>92</v>
      </c>
      <c r="B93" t="s">
        <v>17</v>
      </c>
      <c r="C93" t="s">
        <v>22</v>
      </c>
      <c r="D93" t="s">
        <v>126</v>
      </c>
      <c r="E93">
        <v>19240102502</v>
      </c>
      <c r="F93" t="s">
        <v>36</v>
      </c>
      <c r="G93" t="s">
        <v>38</v>
      </c>
      <c r="H93" t="s">
        <v>42</v>
      </c>
      <c r="I93">
        <v>30</v>
      </c>
      <c r="J93">
        <v>37</v>
      </c>
      <c r="K93">
        <v>67</v>
      </c>
      <c r="L93">
        <v>45</v>
      </c>
      <c r="M93">
        <v>8</v>
      </c>
      <c r="N93">
        <v>9</v>
      </c>
      <c r="O93">
        <v>5</v>
      </c>
      <c r="P93">
        <v>5</v>
      </c>
      <c r="Q93">
        <v>0</v>
      </c>
      <c r="R93">
        <v>8</v>
      </c>
      <c r="S93">
        <v>8</v>
      </c>
      <c r="T93">
        <f t="shared" si="2"/>
        <v>0</v>
      </c>
    </row>
    <row r="94" spans="1:20" x14ac:dyDescent="0.2">
      <c r="A94">
        <v>93</v>
      </c>
      <c r="B94" t="s">
        <v>17</v>
      </c>
      <c r="C94" t="s">
        <v>22</v>
      </c>
      <c r="D94" t="s">
        <v>127</v>
      </c>
      <c r="E94">
        <v>19240102901</v>
      </c>
      <c r="F94" t="s">
        <v>36</v>
      </c>
      <c r="G94" t="s">
        <v>39</v>
      </c>
      <c r="H94" t="s">
        <v>41</v>
      </c>
      <c r="I94">
        <v>24</v>
      </c>
      <c r="J94">
        <v>24</v>
      </c>
      <c r="K94">
        <v>48</v>
      </c>
      <c r="L94">
        <v>28</v>
      </c>
      <c r="M94">
        <v>7</v>
      </c>
      <c r="N94">
        <v>6</v>
      </c>
      <c r="O94">
        <v>7</v>
      </c>
      <c r="P94">
        <v>6</v>
      </c>
      <c r="Q94">
        <v>2</v>
      </c>
      <c r="R94">
        <v>6</v>
      </c>
      <c r="S94">
        <v>8</v>
      </c>
      <c r="T94">
        <f t="shared" si="2"/>
        <v>0</v>
      </c>
    </row>
    <row r="95" spans="1:20" x14ac:dyDescent="0.2">
      <c r="A95">
        <v>94</v>
      </c>
      <c r="B95" t="s">
        <v>17</v>
      </c>
      <c r="C95" t="s">
        <v>22</v>
      </c>
      <c r="D95" t="s">
        <v>128</v>
      </c>
      <c r="E95">
        <v>19240103603</v>
      </c>
      <c r="F95" t="s">
        <v>36</v>
      </c>
      <c r="G95" t="s">
        <v>24</v>
      </c>
      <c r="H95" t="s">
        <v>42</v>
      </c>
      <c r="I95">
        <v>40</v>
      </c>
      <c r="J95">
        <v>32</v>
      </c>
      <c r="K95">
        <v>72</v>
      </c>
      <c r="L95">
        <v>47</v>
      </c>
      <c r="M95">
        <v>9</v>
      </c>
      <c r="N95">
        <v>10</v>
      </c>
      <c r="O95">
        <v>6</v>
      </c>
      <c r="P95">
        <v>10</v>
      </c>
      <c r="Q95">
        <v>3</v>
      </c>
      <c r="R95">
        <v>4</v>
      </c>
      <c r="S95">
        <v>7</v>
      </c>
      <c r="T95">
        <f t="shared" si="2"/>
        <v>0</v>
      </c>
    </row>
    <row r="96" spans="1:20" x14ac:dyDescent="0.2">
      <c r="A96">
        <v>95</v>
      </c>
      <c r="B96" t="s">
        <v>17</v>
      </c>
      <c r="C96" t="s">
        <v>22</v>
      </c>
      <c r="D96" t="s">
        <v>129</v>
      </c>
      <c r="E96">
        <v>19240102202</v>
      </c>
      <c r="F96" t="s">
        <v>35</v>
      </c>
      <c r="G96" t="s">
        <v>38</v>
      </c>
      <c r="H96" t="s">
        <v>43</v>
      </c>
      <c r="I96">
        <v>24</v>
      </c>
      <c r="J96">
        <v>36</v>
      </c>
      <c r="K96">
        <v>60</v>
      </c>
      <c r="L96">
        <v>37</v>
      </c>
      <c r="M96">
        <v>7</v>
      </c>
      <c r="N96">
        <v>9</v>
      </c>
      <c r="O96">
        <v>7</v>
      </c>
      <c r="P96">
        <v>5</v>
      </c>
      <c r="Q96">
        <v>7</v>
      </c>
      <c r="R96">
        <v>10</v>
      </c>
      <c r="S96">
        <v>17</v>
      </c>
      <c r="T96">
        <f t="shared" si="2"/>
        <v>0</v>
      </c>
    </row>
    <row r="97" spans="1:20" x14ac:dyDescent="0.2">
      <c r="A97">
        <v>96</v>
      </c>
      <c r="B97" t="s">
        <v>17</v>
      </c>
      <c r="C97" t="s">
        <v>22</v>
      </c>
      <c r="D97" t="s">
        <v>130</v>
      </c>
      <c r="E97">
        <v>19240101803</v>
      </c>
      <c r="F97" t="s">
        <v>36</v>
      </c>
      <c r="G97" t="s">
        <v>39</v>
      </c>
      <c r="H97" t="s">
        <v>42</v>
      </c>
      <c r="I97">
        <v>28</v>
      </c>
      <c r="J97">
        <v>20</v>
      </c>
      <c r="K97">
        <v>48</v>
      </c>
      <c r="L97">
        <v>29</v>
      </c>
      <c r="M97">
        <v>5</v>
      </c>
      <c r="N97">
        <v>6</v>
      </c>
      <c r="O97">
        <v>8</v>
      </c>
      <c r="P97">
        <v>10</v>
      </c>
      <c r="Q97">
        <v>0</v>
      </c>
      <c r="R97">
        <v>2</v>
      </c>
      <c r="S97">
        <v>2</v>
      </c>
      <c r="T97">
        <f t="shared" si="2"/>
        <v>0</v>
      </c>
    </row>
    <row r="98" spans="1:20" x14ac:dyDescent="0.2">
      <c r="A98">
        <v>97</v>
      </c>
      <c r="B98" t="s">
        <v>17</v>
      </c>
      <c r="C98" t="s">
        <v>22</v>
      </c>
      <c r="D98" t="s">
        <v>131</v>
      </c>
      <c r="E98">
        <v>19240106702</v>
      </c>
      <c r="F98" t="s">
        <v>37</v>
      </c>
      <c r="G98" t="s">
        <v>24</v>
      </c>
      <c r="H98" t="s">
        <v>42</v>
      </c>
      <c r="I98">
        <v>28</v>
      </c>
      <c r="J98">
        <v>28</v>
      </c>
      <c r="K98">
        <v>56</v>
      </c>
      <c r="L98">
        <v>31</v>
      </c>
      <c r="M98">
        <v>8</v>
      </c>
      <c r="N98">
        <v>10</v>
      </c>
      <c r="O98">
        <v>7</v>
      </c>
      <c r="P98">
        <v>10</v>
      </c>
      <c r="Q98">
        <v>5</v>
      </c>
      <c r="R98">
        <v>8</v>
      </c>
      <c r="S98">
        <v>13</v>
      </c>
      <c r="T98">
        <f t="shared" si="2"/>
        <v>1</v>
      </c>
    </row>
    <row r="99" spans="1:20" x14ac:dyDescent="0.2">
      <c r="A99">
        <v>98</v>
      </c>
      <c r="B99" t="s">
        <v>17</v>
      </c>
      <c r="C99" t="s">
        <v>22</v>
      </c>
      <c r="D99" t="s">
        <v>132</v>
      </c>
      <c r="E99">
        <v>19240106901</v>
      </c>
      <c r="F99" t="s">
        <v>35</v>
      </c>
      <c r="G99" t="s">
        <v>24</v>
      </c>
      <c r="H99" t="s">
        <v>44</v>
      </c>
      <c r="I99">
        <v>33</v>
      </c>
      <c r="J99">
        <v>39</v>
      </c>
      <c r="K99">
        <v>72</v>
      </c>
      <c r="L99">
        <v>49</v>
      </c>
      <c r="M99">
        <v>8</v>
      </c>
      <c r="N99">
        <v>9</v>
      </c>
      <c r="O99">
        <v>6</v>
      </c>
      <c r="P99">
        <v>7</v>
      </c>
      <c r="Q99">
        <v>5</v>
      </c>
      <c r="R99">
        <v>4</v>
      </c>
      <c r="S99">
        <v>9</v>
      </c>
      <c r="T99">
        <f t="shared" si="2"/>
        <v>0</v>
      </c>
    </row>
    <row r="100" spans="1:20" x14ac:dyDescent="0.2">
      <c r="A100">
        <v>99</v>
      </c>
      <c r="B100" t="s">
        <v>17</v>
      </c>
      <c r="C100" t="s">
        <v>22</v>
      </c>
      <c r="D100" t="s">
        <v>133</v>
      </c>
      <c r="E100">
        <v>19240103201</v>
      </c>
      <c r="F100" t="s">
        <v>37</v>
      </c>
      <c r="G100" t="s">
        <v>23</v>
      </c>
      <c r="H100" t="s">
        <v>43</v>
      </c>
      <c r="I100">
        <v>25</v>
      </c>
      <c r="J100">
        <v>36</v>
      </c>
      <c r="K100">
        <v>61</v>
      </c>
      <c r="L100">
        <v>35</v>
      </c>
      <c r="M100">
        <v>9</v>
      </c>
      <c r="N100">
        <v>7</v>
      </c>
      <c r="O100">
        <v>10</v>
      </c>
      <c r="P100">
        <v>5</v>
      </c>
      <c r="Q100">
        <v>7</v>
      </c>
      <c r="R100">
        <v>10</v>
      </c>
      <c r="S100">
        <v>17</v>
      </c>
      <c r="T100">
        <f t="shared" si="2"/>
        <v>0</v>
      </c>
    </row>
    <row r="101" spans="1:20" x14ac:dyDescent="0.2">
      <c r="A101">
        <v>100</v>
      </c>
      <c r="B101" t="s">
        <v>17</v>
      </c>
      <c r="C101" t="s">
        <v>22</v>
      </c>
      <c r="D101" t="s">
        <v>134</v>
      </c>
      <c r="E101">
        <v>19240102203</v>
      </c>
      <c r="F101" t="s">
        <v>36</v>
      </c>
      <c r="G101" t="s">
        <v>40</v>
      </c>
      <c r="H101" t="s">
        <v>42</v>
      </c>
      <c r="I101">
        <v>37</v>
      </c>
      <c r="J101">
        <v>34</v>
      </c>
      <c r="K101">
        <v>71</v>
      </c>
      <c r="L101">
        <v>49</v>
      </c>
      <c r="M101">
        <v>7</v>
      </c>
      <c r="N101">
        <v>8</v>
      </c>
      <c r="O101">
        <v>7</v>
      </c>
      <c r="P101">
        <v>8</v>
      </c>
      <c r="Q101">
        <v>3</v>
      </c>
      <c r="R101">
        <v>5</v>
      </c>
      <c r="S101">
        <v>8</v>
      </c>
      <c r="T101">
        <f t="shared" si="2"/>
        <v>0</v>
      </c>
    </row>
    <row r="102" spans="1:20" x14ac:dyDescent="0.2">
      <c r="A102">
        <v>101</v>
      </c>
      <c r="B102" t="s">
        <v>17</v>
      </c>
      <c r="C102" t="s">
        <v>22</v>
      </c>
      <c r="D102" t="s">
        <v>135</v>
      </c>
      <c r="E102">
        <v>19240102201</v>
      </c>
      <c r="F102" t="s">
        <v>35</v>
      </c>
      <c r="G102" t="s">
        <v>23</v>
      </c>
      <c r="H102" t="s">
        <v>41</v>
      </c>
      <c r="I102">
        <v>34</v>
      </c>
      <c r="J102">
        <v>22</v>
      </c>
      <c r="K102">
        <v>56</v>
      </c>
      <c r="L102">
        <v>38</v>
      </c>
      <c r="M102">
        <v>5</v>
      </c>
      <c r="N102">
        <v>7</v>
      </c>
      <c r="O102">
        <v>6</v>
      </c>
      <c r="P102">
        <v>5</v>
      </c>
      <c r="Q102">
        <v>5</v>
      </c>
      <c r="R102">
        <v>8</v>
      </c>
      <c r="S102">
        <v>13</v>
      </c>
      <c r="T102">
        <f t="shared" si="2"/>
        <v>0</v>
      </c>
    </row>
    <row r="103" spans="1:20" x14ac:dyDescent="0.2">
      <c r="A103">
        <v>102</v>
      </c>
      <c r="B103" t="s">
        <v>17</v>
      </c>
      <c r="C103" t="s">
        <v>509</v>
      </c>
      <c r="D103" t="s">
        <v>136</v>
      </c>
      <c r="E103">
        <v>19240400202</v>
      </c>
      <c r="F103" t="s">
        <v>36</v>
      </c>
      <c r="G103" t="s">
        <v>38</v>
      </c>
      <c r="H103" t="s">
        <v>42</v>
      </c>
      <c r="I103">
        <v>28</v>
      </c>
      <c r="J103">
        <v>27</v>
      </c>
      <c r="K103">
        <v>55</v>
      </c>
      <c r="L103">
        <v>35</v>
      </c>
      <c r="M103">
        <v>9</v>
      </c>
      <c r="N103">
        <v>6</v>
      </c>
      <c r="O103">
        <v>5</v>
      </c>
      <c r="P103">
        <v>10</v>
      </c>
      <c r="Q103">
        <v>7</v>
      </c>
      <c r="R103">
        <v>1</v>
      </c>
      <c r="S103">
        <v>8</v>
      </c>
      <c r="T103">
        <f t="shared" ref="T103:T124" si="3">IF(SUM(M103:P103) &gt; L103, 1, 0)</f>
        <v>0</v>
      </c>
    </row>
    <row r="104" spans="1:20" x14ac:dyDescent="0.2">
      <c r="A104">
        <v>103</v>
      </c>
      <c r="B104" t="s">
        <v>17</v>
      </c>
      <c r="C104" t="s">
        <v>22</v>
      </c>
      <c r="D104" t="s">
        <v>137</v>
      </c>
      <c r="E104">
        <v>19240103703</v>
      </c>
      <c r="F104" t="s">
        <v>36</v>
      </c>
      <c r="G104" t="s">
        <v>39</v>
      </c>
      <c r="H104" t="s">
        <v>41</v>
      </c>
      <c r="I104">
        <v>22</v>
      </c>
      <c r="J104">
        <v>22</v>
      </c>
      <c r="K104">
        <v>44</v>
      </c>
      <c r="L104">
        <v>25</v>
      </c>
      <c r="M104">
        <v>5</v>
      </c>
      <c r="N104">
        <v>6</v>
      </c>
      <c r="O104">
        <v>8</v>
      </c>
      <c r="P104">
        <v>8</v>
      </c>
      <c r="Q104">
        <v>1</v>
      </c>
      <c r="R104">
        <v>0</v>
      </c>
      <c r="S104">
        <v>1</v>
      </c>
      <c r="T104">
        <f t="shared" si="3"/>
        <v>1</v>
      </c>
    </row>
    <row r="105" spans="1:20" x14ac:dyDescent="0.2">
      <c r="A105">
        <v>104</v>
      </c>
      <c r="B105" t="s">
        <v>17</v>
      </c>
      <c r="C105" t="s">
        <v>22</v>
      </c>
      <c r="D105" t="s">
        <v>138</v>
      </c>
      <c r="E105">
        <v>19240103701</v>
      </c>
      <c r="F105" t="s">
        <v>36</v>
      </c>
      <c r="G105" t="s">
        <v>24</v>
      </c>
      <c r="H105" t="s">
        <v>42</v>
      </c>
      <c r="I105">
        <v>29</v>
      </c>
      <c r="J105">
        <v>35</v>
      </c>
      <c r="K105">
        <v>64</v>
      </c>
      <c r="L105">
        <v>42</v>
      </c>
      <c r="M105">
        <v>8</v>
      </c>
      <c r="N105">
        <v>9</v>
      </c>
      <c r="O105">
        <v>5</v>
      </c>
      <c r="P105">
        <v>6</v>
      </c>
      <c r="Q105">
        <v>6</v>
      </c>
      <c r="R105">
        <v>1</v>
      </c>
      <c r="S105">
        <v>7</v>
      </c>
      <c r="T105">
        <f t="shared" si="3"/>
        <v>0</v>
      </c>
    </row>
    <row r="106" spans="1:20" x14ac:dyDescent="0.2">
      <c r="A106">
        <v>105</v>
      </c>
      <c r="B106" t="s">
        <v>17</v>
      </c>
      <c r="C106" t="s">
        <v>22</v>
      </c>
      <c r="D106" t="s">
        <v>139</v>
      </c>
      <c r="E106">
        <v>19240104803</v>
      </c>
      <c r="F106" t="s">
        <v>35</v>
      </c>
      <c r="G106" t="s">
        <v>38</v>
      </c>
      <c r="H106" t="s">
        <v>43</v>
      </c>
      <c r="I106">
        <v>27</v>
      </c>
      <c r="J106">
        <v>21</v>
      </c>
      <c r="K106">
        <v>48</v>
      </c>
      <c r="L106">
        <v>22</v>
      </c>
      <c r="M106">
        <v>10</v>
      </c>
      <c r="N106">
        <v>7</v>
      </c>
      <c r="O106">
        <v>9</v>
      </c>
      <c r="P106">
        <v>8</v>
      </c>
      <c r="Q106">
        <v>10</v>
      </c>
      <c r="R106">
        <v>9</v>
      </c>
      <c r="S106">
        <v>19</v>
      </c>
      <c r="T106">
        <f t="shared" si="3"/>
        <v>1</v>
      </c>
    </row>
    <row r="107" spans="1:20" x14ac:dyDescent="0.2">
      <c r="A107">
        <v>106</v>
      </c>
      <c r="B107" t="s">
        <v>17</v>
      </c>
      <c r="C107" t="s">
        <v>22</v>
      </c>
      <c r="D107" t="s">
        <v>140</v>
      </c>
      <c r="E107">
        <v>19240101301</v>
      </c>
      <c r="F107" t="s">
        <v>36</v>
      </c>
      <c r="G107" t="s">
        <v>39</v>
      </c>
      <c r="H107" t="s">
        <v>42</v>
      </c>
      <c r="I107">
        <v>30</v>
      </c>
      <c r="J107">
        <v>34</v>
      </c>
      <c r="K107">
        <v>64</v>
      </c>
      <c r="L107">
        <v>41</v>
      </c>
      <c r="M107">
        <v>9</v>
      </c>
      <c r="N107">
        <v>7</v>
      </c>
      <c r="O107">
        <v>7</v>
      </c>
      <c r="P107">
        <v>10</v>
      </c>
      <c r="Q107">
        <v>1</v>
      </c>
      <c r="R107">
        <v>5</v>
      </c>
      <c r="S107">
        <v>6</v>
      </c>
      <c r="T107">
        <f t="shared" si="3"/>
        <v>0</v>
      </c>
    </row>
    <row r="108" spans="1:20" x14ac:dyDescent="0.2">
      <c r="A108">
        <v>107</v>
      </c>
      <c r="B108" t="s">
        <v>17</v>
      </c>
      <c r="C108" t="s">
        <v>22</v>
      </c>
      <c r="D108" t="s">
        <v>141</v>
      </c>
      <c r="E108">
        <v>19240106904</v>
      </c>
      <c r="F108" t="s">
        <v>37</v>
      </c>
      <c r="G108" t="s">
        <v>24</v>
      </c>
      <c r="H108" t="s">
        <v>42</v>
      </c>
      <c r="I108">
        <v>35</v>
      </c>
      <c r="J108">
        <v>25</v>
      </c>
      <c r="K108">
        <v>60</v>
      </c>
      <c r="L108">
        <v>38</v>
      </c>
      <c r="M108">
        <v>6</v>
      </c>
      <c r="N108">
        <v>6</v>
      </c>
      <c r="O108">
        <v>10</v>
      </c>
      <c r="P108">
        <v>6</v>
      </c>
      <c r="Q108">
        <v>8</v>
      </c>
      <c r="R108">
        <v>10</v>
      </c>
      <c r="S108">
        <v>18</v>
      </c>
      <c r="T108">
        <f t="shared" si="3"/>
        <v>0</v>
      </c>
    </row>
    <row r="109" spans="1:20" x14ac:dyDescent="0.2">
      <c r="A109">
        <v>108</v>
      </c>
      <c r="B109" t="s">
        <v>17</v>
      </c>
      <c r="C109" t="s">
        <v>22</v>
      </c>
      <c r="D109" t="s">
        <v>142</v>
      </c>
      <c r="E109">
        <v>19240106102</v>
      </c>
      <c r="F109" t="s">
        <v>35</v>
      </c>
      <c r="G109" t="s">
        <v>24</v>
      </c>
      <c r="H109" t="s">
        <v>44</v>
      </c>
      <c r="I109">
        <v>36</v>
      </c>
      <c r="J109">
        <v>37</v>
      </c>
      <c r="K109">
        <v>73</v>
      </c>
      <c r="L109">
        <v>46</v>
      </c>
      <c r="M109">
        <v>8</v>
      </c>
      <c r="N109">
        <v>9</v>
      </c>
      <c r="O109">
        <v>10</v>
      </c>
      <c r="P109">
        <v>10</v>
      </c>
      <c r="Q109">
        <v>1</v>
      </c>
      <c r="R109">
        <v>8</v>
      </c>
      <c r="S109">
        <v>9</v>
      </c>
      <c r="T109">
        <f t="shared" si="3"/>
        <v>0</v>
      </c>
    </row>
    <row r="110" spans="1:20" x14ac:dyDescent="0.2">
      <c r="A110">
        <v>109</v>
      </c>
      <c r="B110" t="s">
        <v>17</v>
      </c>
      <c r="C110" t="s">
        <v>22</v>
      </c>
      <c r="D110" t="s">
        <v>143</v>
      </c>
      <c r="E110">
        <v>19240105301</v>
      </c>
      <c r="F110" t="s">
        <v>37</v>
      </c>
      <c r="G110" t="s">
        <v>23</v>
      </c>
      <c r="H110" t="s">
        <v>43</v>
      </c>
      <c r="I110">
        <v>21</v>
      </c>
      <c r="J110">
        <v>36</v>
      </c>
      <c r="K110">
        <v>57</v>
      </c>
      <c r="L110">
        <v>37</v>
      </c>
      <c r="M110">
        <v>5</v>
      </c>
      <c r="N110">
        <v>6</v>
      </c>
      <c r="O110">
        <v>9</v>
      </c>
      <c r="P110">
        <v>10</v>
      </c>
      <c r="Q110">
        <v>1</v>
      </c>
      <c r="R110">
        <v>0</v>
      </c>
      <c r="S110">
        <v>1</v>
      </c>
      <c r="T110">
        <f t="shared" si="3"/>
        <v>0</v>
      </c>
    </row>
    <row r="111" spans="1:20" x14ac:dyDescent="0.2">
      <c r="A111">
        <v>110</v>
      </c>
      <c r="B111" t="s">
        <v>17</v>
      </c>
      <c r="C111" t="s">
        <v>22</v>
      </c>
      <c r="D111" t="s">
        <v>144</v>
      </c>
      <c r="E111">
        <v>19240106201</v>
      </c>
      <c r="F111" t="s">
        <v>36</v>
      </c>
      <c r="G111" t="s">
        <v>40</v>
      </c>
      <c r="H111" t="s">
        <v>42</v>
      </c>
      <c r="I111">
        <v>31</v>
      </c>
      <c r="J111">
        <v>26</v>
      </c>
      <c r="K111">
        <v>57</v>
      </c>
      <c r="L111">
        <v>39</v>
      </c>
      <c r="M111">
        <v>7</v>
      </c>
      <c r="N111">
        <v>5</v>
      </c>
      <c r="O111">
        <v>6</v>
      </c>
      <c r="P111">
        <v>5</v>
      </c>
      <c r="Q111">
        <v>7</v>
      </c>
      <c r="R111">
        <v>0</v>
      </c>
      <c r="S111">
        <v>7</v>
      </c>
      <c r="T111">
        <f t="shared" si="3"/>
        <v>0</v>
      </c>
    </row>
    <row r="112" spans="1:20" x14ac:dyDescent="0.2">
      <c r="A112">
        <v>111</v>
      </c>
      <c r="B112" t="s">
        <v>17</v>
      </c>
      <c r="C112" t="s">
        <v>512</v>
      </c>
      <c r="D112" t="s">
        <v>145</v>
      </c>
      <c r="E112">
        <v>19240306602</v>
      </c>
      <c r="F112" t="s">
        <v>35</v>
      </c>
      <c r="G112" t="s">
        <v>23</v>
      </c>
      <c r="H112" t="s">
        <v>41</v>
      </c>
      <c r="I112">
        <v>28</v>
      </c>
      <c r="J112">
        <v>37</v>
      </c>
      <c r="K112">
        <v>65</v>
      </c>
      <c r="L112">
        <v>37</v>
      </c>
      <c r="M112">
        <v>8</v>
      </c>
      <c r="N112">
        <v>10</v>
      </c>
      <c r="O112">
        <v>10</v>
      </c>
      <c r="P112">
        <v>9</v>
      </c>
      <c r="Q112">
        <v>10</v>
      </c>
      <c r="R112">
        <v>2</v>
      </c>
      <c r="S112">
        <v>12</v>
      </c>
      <c r="T112">
        <f t="shared" si="3"/>
        <v>0</v>
      </c>
    </row>
    <row r="113" spans="1:20" x14ac:dyDescent="0.2">
      <c r="A113">
        <v>112</v>
      </c>
      <c r="B113" t="s">
        <v>17</v>
      </c>
      <c r="C113" t="s">
        <v>22</v>
      </c>
      <c r="D113" t="s">
        <v>146</v>
      </c>
      <c r="E113">
        <v>19240106601</v>
      </c>
      <c r="F113" t="s">
        <v>36</v>
      </c>
      <c r="G113" t="s">
        <v>38</v>
      </c>
      <c r="H113" t="s">
        <v>42</v>
      </c>
      <c r="I113">
        <v>34</v>
      </c>
      <c r="J113">
        <v>28</v>
      </c>
      <c r="K113">
        <v>62</v>
      </c>
      <c r="L113">
        <v>34</v>
      </c>
      <c r="M113">
        <v>10</v>
      </c>
      <c r="N113">
        <v>10</v>
      </c>
      <c r="O113">
        <v>8</v>
      </c>
      <c r="P113">
        <v>9</v>
      </c>
      <c r="Q113">
        <v>1</v>
      </c>
      <c r="R113">
        <v>10</v>
      </c>
      <c r="S113">
        <v>11</v>
      </c>
      <c r="T113">
        <f t="shared" si="3"/>
        <v>1</v>
      </c>
    </row>
    <row r="114" spans="1:20" x14ac:dyDescent="0.2">
      <c r="A114">
        <v>113</v>
      </c>
      <c r="B114" t="s">
        <v>17</v>
      </c>
      <c r="C114" t="s">
        <v>22</v>
      </c>
      <c r="D114" t="s">
        <v>147</v>
      </c>
      <c r="E114">
        <v>19240106401</v>
      </c>
      <c r="F114" t="s">
        <v>36</v>
      </c>
      <c r="G114" t="s">
        <v>39</v>
      </c>
      <c r="H114" t="s">
        <v>41</v>
      </c>
      <c r="I114">
        <v>39</v>
      </c>
      <c r="J114">
        <v>34</v>
      </c>
      <c r="K114">
        <v>73</v>
      </c>
      <c r="L114">
        <v>52</v>
      </c>
      <c r="M114">
        <v>5</v>
      </c>
      <c r="N114">
        <v>6</v>
      </c>
      <c r="O114">
        <v>10</v>
      </c>
      <c r="P114">
        <v>7</v>
      </c>
      <c r="Q114">
        <v>10</v>
      </c>
      <c r="R114">
        <v>3</v>
      </c>
      <c r="S114">
        <v>13</v>
      </c>
      <c r="T114">
        <f t="shared" si="3"/>
        <v>0</v>
      </c>
    </row>
    <row r="115" spans="1:20" x14ac:dyDescent="0.2">
      <c r="A115">
        <v>114</v>
      </c>
      <c r="B115" t="s">
        <v>17</v>
      </c>
      <c r="C115" t="s">
        <v>22</v>
      </c>
      <c r="D115" t="s">
        <v>148</v>
      </c>
      <c r="E115">
        <v>19240106202</v>
      </c>
      <c r="F115" t="s">
        <v>36</v>
      </c>
      <c r="G115" t="s">
        <v>24</v>
      </c>
      <c r="H115" t="s">
        <v>42</v>
      </c>
      <c r="I115">
        <v>24</v>
      </c>
      <c r="J115">
        <v>33</v>
      </c>
      <c r="K115">
        <v>57</v>
      </c>
      <c r="L115">
        <v>33</v>
      </c>
      <c r="M115">
        <v>10</v>
      </c>
      <c r="N115">
        <v>6</v>
      </c>
      <c r="O115">
        <v>8</v>
      </c>
      <c r="P115">
        <v>10</v>
      </c>
      <c r="Q115">
        <v>6</v>
      </c>
      <c r="R115">
        <v>2</v>
      </c>
      <c r="S115">
        <v>8</v>
      </c>
      <c r="T115">
        <f t="shared" si="3"/>
        <v>1</v>
      </c>
    </row>
    <row r="116" spans="1:20" x14ac:dyDescent="0.2">
      <c r="A116">
        <v>115</v>
      </c>
      <c r="B116" t="s">
        <v>17</v>
      </c>
      <c r="C116" t="s">
        <v>22</v>
      </c>
      <c r="D116" t="s">
        <v>149</v>
      </c>
      <c r="E116">
        <v>19240102503</v>
      </c>
      <c r="F116" t="s">
        <v>35</v>
      </c>
      <c r="G116" t="s">
        <v>38</v>
      </c>
      <c r="H116" t="s">
        <v>43</v>
      </c>
      <c r="I116">
        <v>31</v>
      </c>
      <c r="J116">
        <v>21</v>
      </c>
      <c r="K116">
        <v>52</v>
      </c>
      <c r="L116">
        <v>31</v>
      </c>
      <c r="M116">
        <v>9</v>
      </c>
      <c r="N116">
        <v>6</v>
      </c>
      <c r="O116">
        <v>6</v>
      </c>
      <c r="P116">
        <v>8</v>
      </c>
      <c r="Q116">
        <v>1</v>
      </c>
      <c r="R116">
        <v>3</v>
      </c>
      <c r="S116">
        <v>4</v>
      </c>
      <c r="T116">
        <f t="shared" si="3"/>
        <v>0</v>
      </c>
    </row>
    <row r="117" spans="1:20" x14ac:dyDescent="0.2">
      <c r="A117">
        <v>116</v>
      </c>
      <c r="B117" t="s">
        <v>17</v>
      </c>
      <c r="C117" t="s">
        <v>22</v>
      </c>
      <c r="D117" t="s">
        <v>150</v>
      </c>
      <c r="E117">
        <v>19240104902</v>
      </c>
      <c r="F117" t="s">
        <v>36</v>
      </c>
      <c r="G117" t="s">
        <v>39</v>
      </c>
      <c r="H117" t="s">
        <v>42</v>
      </c>
      <c r="I117">
        <v>36</v>
      </c>
      <c r="J117">
        <v>33</v>
      </c>
      <c r="K117">
        <v>69</v>
      </c>
      <c r="L117">
        <v>47</v>
      </c>
      <c r="M117">
        <v>8</v>
      </c>
      <c r="N117">
        <v>8</v>
      </c>
      <c r="O117">
        <v>6</v>
      </c>
      <c r="P117">
        <v>8</v>
      </c>
      <c r="Q117">
        <v>0</v>
      </c>
      <c r="R117">
        <v>5</v>
      </c>
      <c r="S117">
        <v>5</v>
      </c>
      <c r="T117">
        <f t="shared" si="3"/>
        <v>0</v>
      </c>
    </row>
    <row r="118" spans="1:20" x14ac:dyDescent="0.2">
      <c r="A118">
        <v>117</v>
      </c>
      <c r="B118" t="s">
        <v>17</v>
      </c>
      <c r="C118" t="s">
        <v>22</v>
      </c>
      <c r="D118" t="s">
        <v>151</v>
      </c>
      <c r="E118">
        <v>19240100101</v>
      </c>
      <c r="F118" t="s">
        <v>37</v>
      </c>
      <c r="G118" t="s">
        <v>24</v>
      </c>
      <c r="H118" t="s">
        <v>42</v>
      </c>
      <c r="I118">
        <v>25</v>
      </c>
      <c r="J118">
        <v>30</v>
      </c>
      <c r="K118">
        <v>55</v>
      </c>
      <c r="L118">
        <v>31</v>
      </c>
      <c r="M118">
        <v>5</v>
      </c>
      <c r="N118">
        <v>9</v>
      </c>
      <c r="O118">
        <v>10</v>
      </c>
      <c r="P118">
        <v>8</v>
      </c>
      <c r="Q118">
        <v>2</v>
      </c>
      <c r="R118">
        <v>4</v>
      </c>
      <c r="S118">
        <v>6</v>
      </c>
      <c r="T118">
        <f t="shared" si="3"/>
        <v>1</v>
      </c>
    </row>
    <row r="119" spans="1:20" x14ac:dyDescent="0.2">
      <c r="A119">
        <v>118</v>
      </c>
      <c r="B119" t="s">
        <v>17</v>
      </c>
      <c r="C119" t="s">
        <v>22</v>
      </c>
      <c r="D119" t="s">
        <v>152</v>
      </c>
      <c r="E119">
        <v>19240101501</v>
      </c>
      <c r="F119" t="s">
        <v>35</v>
      </c>
      <c r="G119" t="s">
        <v>24</v>
      </c>
      <c r="H119" t="s">
        <v>44</v>
      </c>
      <c r="I119">
        <v>25</v>
      </c>
      <c r="J119">
        <v>37</v>
      </c>
      <c r="K119">
        <v>62</v>
      </c>
      <c r="L119">
        <v>39</v>
      </c>
      <c r="M119">
        <v>6</v>
      </c>
      <c r="N119">
        <v>8</v>
      </c>
      <c r="O119">
        <v>9</v>
      </c>
      <c r="P119">
        <v>10</v>
      </c>
      <c r="Q119">
        <v>3</v>
      </c>
      <c r="R119">
        <v>2</v>
      </c>
      <c r="S119">
        <v>5</v>
      </c>
      <c r="T119">
        <f t="shared" si="3"/>
        <v>0</v>
      </c>
    </row>
    <row r="120" spans="1:20" x14ac:dyDescent="0.2">
      <c r="A120">
        <v>119</v>
      </c>
      <c r="B120" t="s">
        <v>17</v>
      </c>
      <c r="C120" t="s">
        <v>22</v>
      </c>
      <c r="D120" t="s">
        <v>153</v>
      </c>
      <c r="E120">
        <v>19240102801</v>
      </c>
      <c r="F120" t="s">
        <v>37</v>
      </c>
      <c r="G120" t="s">
        <v>23</v>
      </c>
      <c r="H120" t="s">
        <v>43</v>
      </c>
      <c r="I120">
        <v>34</v>
      </c>
      <c r="J120">
        <v>27</v>
      </c>
      <c r="K120">
        <v>61</v>
      </c>
      <c r="L120">
        <v>39</v>
      </c>
      <c r="M120">
        <v>6</v>
      </c>
      <c r="N120">
        <v>6</v>
      </c>
      <c r="O120">
        <v>10</v>
      </c>
      <c r="P120">
        <v>6</v>
      </c>
      <c r="Q120">
        <v>5</v>
      </c>
      <c r="R120">
        <v>5</v>
      </c>
      <c r="S120">
        <v>10</v>
      </c>
      <c r="T120">
        <f t="shared" si="3"/>
        <v>0</v>
      </c>
    </row>
    <row r="121" spans="1:20" x14ac:dyDescent="0.2">
      <c r="A121">
        <v>120</v>
      </c>
      <c r="B121" t="s">
        <v>17</v>
      </c>
      <c r="C121" t="s">
        <v>22</v>
      </c>
      <c r="D121" t="s">
        <v>154</v>
      </c>
      <c r="E121">
        <v>19240102301</v>
      </c>
      <c r="F121" t="s">
        <v>36</v>
      </c>
      <c r="G121" t="s">
        <v>40</v>
      </c>
      <c r="H121" t="s">
        <v>42</v>
      </c>
      <c r="I121">
        <v>24</v>
      </c>
      <c r="J121">
        <v>37</v>
      </c>
      <c r="K121">
        <v>61</v>
      </c>
      <c r="L121">
        <v>42</v>
      </c>
      <c r="M121">
        <v>7</v>
      </c>
      <c r="N121">
        <v>5</v>
      </c>
      <c r="O121">
        <v>7</v>
      </c>
      <c r="P121">
        <v>5</v>
      </c>
      <c r="Q121">
        <v>9</v>
      </c>
      <c r="R121">
        <v>5</v>
      </c>
      <c r="S121">
        <v>14</v>
      </c>
      <c r="T121">
        <f t="shared" si="3"/>
        <v>0</v>
      </c>
    </row>
    <row r="122" spans="1:20" x14ac:dyDescent="0.2">
      <c r="A122">
        <v>121</v>
      </c>
      <c r="B122" t="s">
        <v>17</v>
      </c>
      <c r="C122" t="s">
        <v>22</v>
      </c>
      <c r="D122" t="s">
        <v>155</v>
      </c>
      <c r="E122">
        <v>19240102601</v>
      </c>
      <c r="F122" t="s">
        <v>35</v>
      </c>
      <c r="G122" t="s">
        <v>23</v>
      </c>
      <c r="H122" t="s">
        <v>41</v>
      </c>
      <c r="I122">
        <v>37</v>
      </c>
      <c r="J122">
        <v>22</v>
      </c>
      <c r="K122">
        <v>59</v>
      </c>
      <c r="L122">
        <v>33</v>
      </c>
      <c r="M122">
        <v>6</v>
      </c>
      <c r="N122">
        <v>10</v>
      </c>
      <c r="O122">
        <v>10</v>
      </c>
      <c r="P122">
        <v>9</v>
      </c>
      <c r="Q122">
        <v>0</v>
      </c>
      <c r="R122">
        <v>1</v>
      </c>
      <c r="S122">
        <v>1</v>
      </c>
      <c r="T122">
        <f t="shared" si="3"/>
        <v>1</v>
      </c>
    </row>
    <row r="123" spans="1:20" x14ac:dyDescent="0.2">
      <c r="A123">
        <v>122</v>
      </c>
      <c r="B123" t="s">
        <v>17</v>
      </c>
      <c r="C123" t="s">
        <v>22</v>
      </c>
      <c r="D123" t="s">
        <v>156</v>
      </c>
      <c r="E123">
        <v>19240104004</v>
      </c>
      <c r="F123" t="s">
        <v>36</v>
      </c>
      <c r="G123" t="s">
        <v>38</v>
      </c>
      <c r="H123" t="s">
        <v>42</v>
      </c>
      <c r="I123">
        <v>36</v>
      </c>
      <c r="J123">
        <v>26</v>
      </c>
      <c r="K123">
        <v>62</v>
      </c>
      <c r="L123">
        <v>38</v>
      </c>
      <c r="M123">
        <v>9</v>
      </c>
      <c r="N123">
        <v>6</v>
      </c>
      <c r="O123">
        <v>9</v>
      </c>
      <c r="P123">
        <v>6</v>
      </c>
      <c r="Q123">
        <v>7</v>
      </c>
      <c r="R123">
        <v>10</v>
      </c>
      <c r="S123">
        <v>17</v>
      </c>
      <c r="T123">
        <f t="shared" si="3"/>
        <v>0</v>
      </c>
    </row>
    <row r="124" spans="1:20" x14ac:dyDescent="0.2">
      <c r="A124">
        <v>123</v>
      </c>
      <c r="B124" t="s">
        <v>17</v>
      </c>
      <c r="C124" t="s">
        <v>22</v>
      </c>
      <c r="D124" t="s">
        <v>157</v>
      </c>
      <c r="E124">
        <v>19240104001</v>
      </c>
      <c r="F124" t="s">
        <v>36</v>
      </c>
      <c r="G124" t="s">
        <v>39</v>
      </c>
      <c r="H124" t="s">
        <v>41</v>
      </c>
      <c r="I124">
        <v>35</v>
      </c>
      <c r="J124">
        <v>24</v>
      </c>
      <c r="K124">
        <v>59</v>
      </c>
      <c r="L124">
        <v>37</v>
      </c>
      <c r="M124">
        <v>6</v>
      </c>
      <c r="N124">
        <v>8</v>
      </c>
      <c r="O124">
        <v>8</v>
      </c>
      <c r="P124">
        <v>8</v>
      </c>
      <c r="Q124">
        <v>3</v>
      </c>
      <c r="R124">
        <v>7</v>
      </c>
      <c r="S124">
        <v>10</v>
      </c>
      <c r="T124">
        <f t="shared" si="3"/>
        <v>0</v>
      </c>
    </row>
    <row r="125" spans="1:20" x14ac:dyDescent="0.2">
      <c r="A125">
        <v>124</v>
      </c>
      <c r="B125" t="s">
        <v>17</v>
      </c>
      <c r="C125" t="s">
        <v>22</v>
      </c>
      <c r="D125" t="s">
        <v>158</v>
      </c>
      <c r="E125">
        <v>19240106403</v>
      </c>
      <c r="F125" t="s">
        <v>36</v>
      </c>
      <c r="G125" t="s">
        <v>24</v>
      </c>
      <c r="H125" t="s">
        <v>42</v>
      </c>
      <c r="I125">
        <v>34</v>
      </c>
      <c r="J125">
        <v>20</v>
      </c>
      <c r="K125">
        <v>54</v>
      </c>
      <c r="L125">
        <v>31</v>
      </c>
      <c r="M125">
        <v>7</v>
      </c>
      <c r="N125">
        <v>10</v>
      </c>
      <c r="O125">
        <v>6</v>
      </c>
      <c r="P125">
        <v>6</v>
      </c>
      <c r="Q125">
        <v>3</v>
      </c>
      <c r="R125">
        <v>5</v>
      </c>
      <c r="S125">
        <v>8</v>
      </c>
      <c r="T125">
        <f>IF(SUM(M125:P125) &gt; L125, 1, 0)</f>
        <v>0</v>
      </c>
    </row>
    <row r="126" spans="1:20" x14ac:dyDescent="0.2">
      <c r="A126">
        <v>125</v>
      </c>
      <c r="B126" t="s">
        <v>17</v>
      </c>
      <c r="C126" t="s">
        <v>22</v>
      </c>
      <c r="D126" t="s">
        <v>159</v>
      </c>
      <c r="E126">
        <v>19240101001</v>
      </c>
      <c r="F126" t="s">
        <v>35</v>
      </c>
      <c r="G126" t="s">
        <v>38</v>
      </c>
      <c r="H126" t="s">
        <v>43</v>
      </c>
      <c r="I126">
        <v>28</v>
      </c>
      <c r="J126">
        <v>37</v>
      </c>
      <c r="K126">
        <v>65</v>
      </c>
      <c r="L126">
        <v>47</v>
      </c>
      <c r="M126">
        <v>5</v>
      </c>
      <c r="N126">
        <v>7</v>
      </c>
      <c r="O126">
        <v>6</v>
      </c>
      <c r="P126">
        <v>5</v>
      </c>
      <c r="Q126">
        <v>3</v>
      </c>
      <c r="R126">
        <v>7</v>
      </c>
      <c r="S126">
        <v>10</v>
      </c>
      <c r="T126">
        <f t="shared" ref="T126:T177" si="4">IF(SUM(M126:P126) &gt; L126, 1, 0)</f>
        <v>0</v>
      </c>
    </row>
    <row r="127" spans="1:20" x14ac:dyDescent="0.2">
      <c r="A127">
        <v>126</v>
      </c>
      <c r="B127" t="s">
        <v>17</v>
      </c>
      <c r="C127" t="s">
        <v>22</v>
      </c>
      <c r="D127" t="s">
        <v>160</v>
      </c>
      <c r="E127">
        <v>19240104302</v>
      </c>
      <c r="F127" t="s">
        <v>36</v>
      </c>
      <c r="G127" t="s">
        <v>39</v>
      </c>
      <c r="H127" t="s">
        <v>42</v>
      </c>
      <c r="I127">
        <v>40</v>
      </c>
      <c r="J127">
        <v>23</v>
      </c>
      <c r="K127">
        <v>63</v>
      </c>
      <c r="L127">
        <v>38</v>
      </c>
      <c r="M127">
        <v>5</v>
      </c>
      <c r="N127">
        <v>10</v>
      </c>
      <c r="O127">
        <v>10</v>
      </c>
      <c r="P127">
        <v>8</v>
      </c>
      <c r="Q127">
        <v>4</v>
      </c>
      <c r="R127">
        <v>4</v>
      </c>
      <c r="S127">
        <v>8</v>
      </c>
      <c r="T127">
        <f t="shared" si="4"/>
        <v>0</v>
      </c>
    </row>
    <row r="128" spans="1:20" x14ac:dyDescent="0.2">
      <c r="A128">
        <v>127</v>
      </c>
      <c r="B128" t="s">
        <v>17</v>
      </c>
      <c r="C128" t="s">
        <v>22</v>
      </c>
      <c r="D128" t="s">
        <v>161</v>
      </c>
      <c r="E128">
        <v>19240104301</v>
      </c>
      <c r="F128" t="s">
        <v>37</v>
      </c>
      <c r="G128" t="s">
        <v>24</v>
      </c>
      <c r="H128" t="s">
        <v>42</v>
      </c>
      <c r="I128">
        <v>20</v>
      </c>
      <c r="J128">
        <v>33</v>
      </c>
      <c r="K128">
        <v>53</v>
      </c>
      <c r="L128">
        <v>29</v>
      </c>
      <c r="M128">
        <v>9</v>
      </c>
      <c r="N128">
        <v>6</v>
      </c>
      <c r="O128">
        <v>9</v>
      </c>
      <c r="P128">
        <v>6</v>
      </c>
      <c r="Q128">
        <v>1</v>
      </c>
      <c r="R128">
        <v>8</v>
      </c>
      <c r="S128">
        <v>9</v>
      </c>
      <c r="T128">
        <f t="shared" si="4"/>
        <v>1</v>
      </c>
    </row>
    <row r="129" spans="1:20" x14ac:dyDescent="0.2">
      <c r="A129">
        <v>128</v>
      </c>
      <c r="B129" t="s">
        <v>17</v>
      </c>
      <c r="C129" t="s">
        <v>22</v>
      </c>
      <c r="D129" t="s">
        <v>162</v>
      </c>
      <c r="E129">
        <v>19240104501</v>
      </c>
      <c r="F129" t="s">
        <v>35</v>
      </c>
      <c r="G129" t="s">
        <v>24</v>
      </c>
      <c r="H129" t="s">
        <v>44</v>
      </c>
      <c r="I129">
        <v>27</v>
      </c>
      <c r="J129">
        <v>37</v>
      </c>
      <c r="K129">
        <v>64</v>
      </c>
      <c r="L129">
        <v>47</v>
      </c>
      <c r="M129">
        <v>7</v>
      </c>
      <c r="N129">
        <v>5</v>
      </c>
      <c r="O129">
        <v>5</v>
      </c>
      <c r="P129">
        <v>9</v>
      </c>
      <c r="Q129">
        <v>2</v>
      </c>
      <c r="R129">
        <v>7</v>
      </c>
      <c r="S129">
        <v>9</v>
      </c>
      <c r="T129">
        <f t="shared" si="4"/>
        <v>0</v>
      </c>
    </row>
    <row r="130" spans="1:20" x14ac:dyDescent="0.2">
      <c r="A130">
        <v>129</v>
      </c>
      <c r="B130" t="s">
        <v>17</v>
      </c>
      <c r="C130" t="s">
        <v>22</v>
      </c>
      <c r="D130" t="s">
        <v>163</v>
      </c>
      <c r="E130">
        <v>19240104002</v>
      </c>
      <c r="F130" t="s">
        <v>37</v>
      </c>
      <c r="G130" t="s">
        <v>23</v>
      </c>
      <c r="H130" t="s">
        <v>43</v>
      </c>
      <c r="I130">
        <v>26</v>
      </c>
      <c r="J130">
        <v>24</v>
      </c>
      <c r="K130">
        <v>50</v>
      </c>
      <c r="L130">
        <v>30</v>
      </c>
      <c r="M130">
        <v>7</v>
      </c>
      <c r="N130">
        <v>7</v>
      </c>
      <c r="O130">
        <v>6</v>
      </c>
      <c r="P130">
        <v>8</v>
      </c>
      <c r="Q130">
        <v>9</v>
      </c>
      <c r="R130">
        <v>0</v>
      </c>
      <c r="S130">
        <v>9</v>
      </c>
      <c r="T130">
        <f t="shared" si="4"/>
        <v>0</v>
      </c>
    </row>
    <row r="131" spans="1:20" x14ac:dyDescent="0.2">
      <c r="A131">
        <v>130</v>
      </c>
      <c r="B131" t="s">
        <v>17</v>
      </c>
      <c r="C131" t="s">
        <v>22</v>
      </c>
      <c r="D131" t="s">
        <v>164</v>
      </c>
      <c r="E131">
        <v>19240106701</v>
      </c>
      <c r="F131" t="s">
        <v>36</v>
      </c>
      <c r="G131" t="s">
        <v>40</v>
      </c>
      <c r="H131" t="s">
        <v>42</v>
      </c>
      <c r="I131">
        <v>28</v>
      </c>
      <c r="J131">
        <v>40</v>
      </c>
      <c r="K131">
        <v>68</v>
      </c>
      <c r="L131">
        <v>46</v>
      </c>
      <c r="M131">
        <v>9</v>
      </c>
      <c r="N131">
        <v>6</v>
      </c>
      <c r="O131">
        <v>7</v>
      </c>
      <c r="P131">
        <v>7</v>
      </c>
      <c r="Q131">
        <v>10</v>
      </c>
      <c r="R131">
        <v>2</v>
      </c>
      <c r="S131">
        <v>12</v>
      </c>
      <c r="T131">
        <f t="shared" si="4"/>
        <v>0</v>
      </c>
    </row>
    <row r="132" spans="1:20" x14ac:dyDescent="0.2">
      <c r="A132">
        <v>131</v>
      </c>
      <c r="B132" t="s">
        <v>17</v>
      </c>
      <c r="C132" t="s">
        <v>22</v>
      </c>
      <c r="D132" t="s">
        <v>165</v>
      </c>
      <c r="E132">
        <v>19240101902</v>
      </c>
      <c r="F132" t="s">
        <v>35</v>
      </c>
      <c r="G132" t="s">
        <v>23</v>
      </c>
      <c r="H132" t="s">
        <v>41</v>
      </c>
      <c r="I132">
        <v>38</v>
      </c>
      <c r="J132">
        <v>20</v>
      </c>
      <c r="K132">
        <v>58</v>
      </c>
      <c r="L132">
        <v>37</v>
      </c>
      <c r="M132">
        <v>10</v>
      </c>
      <c r="N132">
        <v>5</v>
      </c>
      <c r="O132">
        <v>6</v>
      </c>
      <c r="P132">
        <v>7</v>
      </c>
      <c r="Q132">
        <v>9</v>
      </c>
      <c r="R132">
        <v>6</v>
      </c>
      <c r="S132">
        <v>15</v>
      </c>
      <c r="T132">
        <f t="shared" si="4"/>
        <v>0</v>
      </c>
    </row>
    <row r="133" spans="1:20" x14ac:dyDescent="0.2">
      <c r="A133">
        <v>132</v>
      </c>
      <c r="B133" t="s">
        <v>17</v>
      </c>
      <c r="C133" t="s">
        <v>22</v>
      </c>
      <c r="D133" t="s">
        <v>166</v>
      </c>
      <c r="E133">
        <v>19240104804</v>
      </c>
      <c r="F133" t="s">
        <v>36</v>
      </c>
      <c r="G133" t="s">
        <v>38</v>
      </c>
      <c r="H133" t="s">
        <v>42</v>
      </c>
      <c r="I133">
        <v>26</v>
      </c>
      <c r="J133">
        <v>23</v>
      </c>
      <c r="K133">
        <v>49</v>
      </c>
      <c r="L133">
        <v>25</v>
      </c>
      <c r="M133">
        <v>8</v>
      </c>
      <c r="N133">
        <v>7</v>
      </c>
      <c r="O133">
        <v>9</v>
      </c>
      <c r="P133">
        <v>8</v>
      </c>
      <c r="Q133">
        <v>3</v>
      </c>
      <c r="R133">
        <v>6</v>
      </c>
      <c r="S133">
        <v>9</v>
      </c>
      <c r="T133">
        <f t="shared" si="4"/>
        <v>1</v>
      </c>
    </row>
    <row r="134" spans="1:20" x14ac:dyDescent="0.2">
      <c r="A134">
        <v>133</v>
      </c>
      <c r="B134" t="s">
        <v>17</v>
      </c>
      <c r="C134" t="s">
        <v>22</v>
      </c>
      <c r="D134" t="s">
        <v>167</v>
      </c>
      <c r="E134">
        <v>19240103503</v>
      </c>
      <c r="F134" t="s">
        <v>36</v>
      </c>
      <c r="G134" t="s">
        <v>39</v>
      </c>
      <c r="H134" t="s">
        <v>41</v>
      </c>
      <c r="I134">
        <v>35</v>
      </c>
      <c r="J134">
        <v>21</v>
      </c>
      <c r="K134">
        <v>56</v>
      </c>
      <c r="L134">
        <v>36</v>
      </c>
      <c r="M134">
        <v>8</v>
      </c>
      <c r="N134">
        <v>7</v>
      </c>
      <c r="O134">
        <v>5</v>
      </c>
      <c r="P134">
        <v>6</v>
      </c>
      <c r="Q134">
        <v>6</v>
      </c>
      <c r="R134">
        <v>9</v>
      </c>
      <c r="S134">
        <v>15</v>
      </c>
      <c r="T134">
        <f t="shared" si="4"/>
        <v>0</v>
      </c>
    </row>
    <row r="135" spans="1:20" x14ac:dyDescent="0.2">
      <c r="A135">
        <v>134</v>
      </c>
      <c r="B135" t="s">
        <v>17</v>
      </c>
      <c r="C135" t="s">
        <v>22</v>
      </c>
      <c r="D135" t="s">
        <v>168</v>
      </c>
      <c r="E135">
        <v>19240102802</v>
      </c>
      <c r="F135" t="s">
        <v>36</v>
      </c>
      <c r="G135" t="s">
        <v>24</v>
      </c>
      <c r="H135" t="s">
        <v>42</v>
      </c>
      <c r="I135">
        <v>33</v>
      </c>
      <c r="J135">
        <v>24</v>
      </c>
      <c r="K135">
        <v>57</v>
      </c>
      <c r="L135">
        <v>30</v>
      </c>
      <c r="M135">
        <v>10</v>
      </c>
      <c r="N135">
        <v>9</v>
      </c>
      <c r="O135">
        <v>8</v>
      </c>
      <c r="P135">
        <v>8</v>
      </c>
      <c r="Q135">
        <v>0</v>
      </c>
      <c r="R135">
        <v>5</v>
      </c>
      <c r="S135">
        <v>5</v>
      </c>
      <c r="T135">
        <f t="shared" si="4"/>
        <v>1</v>
      </c>
    </row>
    <row r="136" spans="1:20" x14ac:dyDescent="0.2">
      <c r="A136">
        <v>135</v>
      </c>
      <c r="B136" t="s">
        <v>17</v>
      </c>
      <c r="C136" t="s">
        <v>22</v>
      </c>
      <c r="D136" t="s">
        <v>169</v>
      </c>
      <c r="E136">
        <v>19240102504</v>
      </c>
      <c r="F136" t="s">
        <v>35</v>
      </c>
      <c r="G136" t="s">
        <v>38</v>
      </c>
      <c r="H136" t="s">
        <v>43</v>
      </c>
      <c r="I136">
        <v>39</v>
      </c>
      <c r="J136">
        <v>36</v>
      </c>
      <c r="K136">
        <v>75</v>
      </c>
      <c r="L136">
        <v>51</v>
      </c>
      <c r="M136">
        <v>9</v>
      </c>
      <c r="N136">
        <v>8</v>
      </c>
      <c r="O136">
        <v>7</v>
      </c>
      <c r="P136">
        <v>6</v>
      </c>
      <c r="Q136">
        <v>5</v>
      </c>
      <c r="R136">
        <v>3</v>
      </c>
      <c r="S136">
        <v>8</v>
      </c>
      <c r="T136">
        <f t="shared" si="4"/>
        <v>0</v>
      </c>
    </row>
    <row r="137" spans="1:20" x14ac:dyDescent="0.2">
      <c r="A137">
        <v>136</v>
      </c>
      <c r="B137" t="s">
        <v>17</v>
      </c>
      <c r="C137" t="s">
        <v>22</v>
      </c>
      <c r="D137" t="s">
        <v>170</v>
      </c>
      <c r="E137">
        <v>19240102701</v>
      </c>
      <c r="F137" t="s">
        <v>36</v>
      </c>
      <c r="G137" t="s">
        <v>39</v>
      </c>
      <c r="H137" t="s">
        <v>42</v>
      </c>
      <c r="I137">
        <v>37</v>
      </c>
      <c r="J137">
        <v>35</v>
      </c>
      <c r="K137">
        <v>72</v>
      </c>
      <c r="L137">
        <v>51</v>
      </c>
      <c r="M137">
        <v>7</v>
      </c>
      <c r="N137">
        <v>6</v>
      </c>
      <c r="O137">
        <v>8</v>
      </c>
      <c r="P137">
        <v>9</v>
      </c>
      <c r="Q137">
        <v>7</v>
      </c>
      <c r="R137">
        <v>7</v>
      </c>
      <c r="S137">
        <v>14</v>
      </c>
      <c r="T137">
        <f t="shared" si="4"/>
        <v>0</v>
      </c>
    </row>
    <row r="138" spans="1:20" x14ac:dyDescent="0.2">
      <c r="A138">
        <v>137</v>
      </c>
      <c r="B138" t="s">
        <v>17</v>
      </c>
      <c r="C138" t="s">
        <v>22</v>
      </c>
      <c r="D138" t="s">
        <v>171</v>
      </c>
      <c r="E138">
        <v>19240107401</v>
      </c>
      <c r="F138" t="s">
        <v>37</v>
      </c>
      <c r="G138" t="s">
        <v>24</v>
      </c>
      <c r="H138" t="s">
        <v>42</v>
      </c>
      <c r="I138">
        <v>30</v>
      </c>
      <c r="J138">
        <v>30</v>
      </c>
      <c r="K138">
        <v>60</v>
      </c>
      <c r="L138">
        <v>34</v>
      </c>
      <c r="M138">
        <v>9</v>
      </c>
      <c r="N138">
        <v>7</v>
      </c>
      <c r="O138">
        <v>10</v>
      </c>
      <c r="P138">
        <v>9</v>
      </c>
      <c r="Q138">
        <v>4</v>
      </c>
      <c r="R138">
        <v>1</v>
      </c>
      <c r="S138">
        <v>5</v>
      </c>
      <c r="T138">
        <f t="shared" si="4"/>
        <v>1</v>
      </c>
    </row>
    <row r="139" spans="1:20" x14ac:dyDescent="0.2">
      <c r="A139">
        <v>138</v>
      </c>
      <c r="B139" t="s">
        <v>17</v>
      </c>
      <c r="C139" t="s">
        <v>22</v>
      </c>
      <c r="D139" t="s">
        <v>172</v>
      </c>
      <c r="E139">
        <v>19240104003</v>
      </c>
      <c r="F139" t="s">
        <v>35</v>
      </c>
      <c r="G139" t="s">
        <v>24</v>
      </c>
      <c r="H139" t="s">
        <v>44</v>
      </c>
      <c r="I139">
        <v>38</v>
      </c>
      <c r="J139">
        <v>37</v>
      </c>
      <c r="K139">
        <v>75</v>
      </c>
      <c r="L139">
        <v>53</v>
      </c>
      <c r="M139">
        <v>8</v>
      </c>
      <c r="N139">
        <v>5</v>
      </c>
      <c r="O139">
        <v>9</v>
      </c>
      <c r="P139">
        <v>10</v>
      </c>
      <c r="Q139">
        <v>10</v>
      </c>
      <c r="R139">
        <v>5</v>
      </c>
      <c r="S139">
        <v>15</v>
      </c>
      <c r="T139">
        <f t="shared" si="4"/>
        <v>0</v>
      </c>
    </row>
    <row r="140" spans="1:20" x14ac:dyDescent="0.2">
      <c r="A140">
        <v>139</v>
      </c>
      <c r="B140" t="s">
        <v>17</v>
      </c>
      <c r="C140" t="s">
        <v>510</v>
      </c>
      <c r="D140" t="s">
        <v>173</v>
      </c>
      <c r="E140">
        <v>19240204001</v>
      </c>
      <c r="F140" t="s">
        <v>37</v>
      </c>
      <c r="G140" t="s">
        <v>23</v>
      </c>
      <c r="H140" t="s">
        <v>43</v>
      </c>
      <c r="I140">
        <v>31</v>
      </c>
      <c r="J140">
        <v>24</v>
      </c>
      <c r="K140">
        <v>55</v>
      </c>
      <c r="L140">
        <v>26</v>
      </c>
      <c r="M140">
        <v>9</v>
      </c>
      <c r="N140">
        <v>10</v>
      </c>
      <c r="O140">
        <v>10</v>
      </c>
      <c r="P140">
        <v>10</v>
      </c>
      <c r="Q140">
        <v>2</v>
      </c>
      <c r="R140">
        <v>6</v>
      </c>
      <c r="S140">
        <v>8</v>
      </c>
      <c r="T140">
        <f t="shared" si="4"/>
        <v>1</v>
      </c>
    </row>
    <row r="141" spans="1:20" x14ac:dyDescent="0.2">
      <c r="A141">
        <v>140</v>
      </c>
      <c r="B141" t="s">
        <v>17</v>
      </c>
      <c r="C141" t="s">
        <v>510</v>
      </c>
      <c r="D141" t="s">
        <v>174</v>
      </c>
      <c r="E141">
        <v>19240202806</v>
      </c>
      <c r="F141" t="s">
        <v>36</v>
      </c>
      <c r="G141" t="s">
        <v>40</v>
      </c>
      <c r="H141" t="s">
        <v>42</v>
      </c>
      <c r="I141">
        <v>25</v>
      </c>
      <c r="J141">
        <v>26</v>
      </c>
      <c r="K141">
        <v>51</v>
      </c>
      <c r="L141">
        <v>30</v>
      </c>
      <c r="M141">
        <v>9</v>
      </c>
      <c r="N141">
        <v>5</v>
      </c>
      <c r="O141">
        <v>7</v>
      </c>
      <c r="P141">
        <v>7</v>
      </c>
      <c r="Q141">
        <v>3</v>
      </c>
      <c r="R141">
        <v>9</v>
      </c>
      <c r="S141">
        <v>12</v>
      </c>
      <c r="T141">
        <f t="shared" si="4"/>
        <v>0</v>
      </c>
    </row>
    <row r="142" spans="1:20" x14ac:dyDescent="0.2">
      <c r="A142">
        <v>141</v>
      </c>
      <c r="B142" t="s">
        <v>17</v>
      </c>
      <c r="C142" t="s">
        <v>510</v>
      </c>
      <c r="D142" t="s">
        <v>175</v>
      </c>
      <c r="E142">
        <v>19240200402</v>
      </c>
      <c r="F142" t="s">
        <v>35</v>
      </c>
      <c r="G142" t="s">
        <v>23</v>
      </c>
      <c r="H142" t="s">
        <v>41</v>
      </c>
      <c r="I142">
        <v>28</v>
      </c>
      <c r="J142">
        <v>36</v>
      </c>
      <c r="K142">
        <v>64</v>
      </c>
      <c r="L142">
        <v>46</v>
      </c>
      <c r="M142">
        <v>8</v>
      </c>
      <c r="N142">
        <v>5</v>
      </c>
      <c r="O142">
        <v>5</v>
      </c>
      <c r="P142">
        <v>7</v>
      </c>
      <c r="Q142">
        <v>6</v>
      </c>
      <c r="R142">
        <v>4</v>
      </c>
      <c r="S142">
        <v>10</v>
      </c>
      <c r="T142">
        <f t="shared" si="4"/>
        <v>0</v>
      </c>
    </row>
    <row r="143" spans="1:20" x14ac:dyDescent="0.2">
      <c r="A143">
        <v>142</v>
      </c>
      <c r="B143" t="s">
        <v>17</v>
      </c>
      <c r="C143" t="s">
        <v>510</v>
      </c>
      <c r="D143" t="s">
        <v>176</v>
      </c>
      <c r="E143">
        <v>19240205802</v>
      </c>
      <c r="F143" t="s">
        <v>36</v>
      </c>
      <c r="G143" t="s">
        <v>38</v>
      </c>
      <c r="H143" t="s">
        <v>42</v>
      </c>
      <c r="I143">
        <v>25</v>
      </c>
      <c r="J143">
        <v>36</v>
      </c>
      <c r="K143">
        <v>61</v>
      </c>
      <c r="L143">
        <v>35</v>
      </c>
      <c r="M143">
        <v>9</v>
      </c>
      <c r="N143">
        <v>7</v>
      </c>
      <c r="O143">
        <v>10</v>
      </c>
      <c r="P143">
        <v>5</v>
      </c>
      <c r="Q143">
        <v>7</v>
      </c>
      <c r="R143">
        <v>10</v>
      </c>
      <c r="S143">
        <v>17</v>
      </c>
      <c r="T143">
        <f t="shared" si="4"/>
        <v>0</v>
      </c>
    </row>
    <row r="144" spans="1:20" x14ac:dyDescent="0.2">
      <c r="A144">
        <v>143</v>
      </c>
      <c r="B144" t="s">
        <v>17</v>
      </c>
      <c r="C144" t="s">
        <v>510</v>
      </c>
      <c r="D144" t="s">
        <v>177</v>
      </c>
      <c r="E144">
        <v>19240201502</v>
      </c>
      <c r="F144" t="s">
        <v>36</v>
      </c>
      <c r="G144" t="s">
        <v>39</v>
      </c>
      <c r="H144" t="s">
        <v>41</v>
      </c>
      <c r="I144">
        <v>37</v>
      </c>
      <c r="J144">
        <v>34</v>
      </c>
      <c r="K144">
        <v>71</v>
      </c>
      <c r="L144">
        <v>49</v>
      </c>
      <c r="M144">
        <v>7</v>
      </c>
      <c r="N144">
        <v>8</v>
      </c>
      <c r="O144">
        <v>7</v>
      </c>
      <c r="P144">
        <v>8</v>
      </c>
      <c r="Q144">
        <v>3</v>
      </c>
      <c r="R144">
        <v>5</v>
      </c>
      <c r="S144">
        <v>8</v>
      </c>
      <c r="T144">
        <f t="shared" si="4"/>
        <v>0</v>
      </c>
    </row>
    <row r="145" spans="1:20" x14ac:dyDescent="0.2">
      <c r="A145">
        <v>144</v>
      </c>
      <c r="B145" t="s">
        <v>17</v>
      </c>
      <c r="C145" t="s">
        <v>510</v>
      </c>
      <c r="D145" t="s">
        <v>178</v>
      </c>
      <c r="E145">
        <v>19240201503</v>
      </c>
      <c r="F145" t="s">
        <v>36</v>
      </c>
      <c r="G145" t="s">
        <v>24</v>
      </c>
      <c r="H145" t="s">
        <v>42</v>
      </c>
      <c r="I145">
        <v>34</v>
      </c>
      <c r="J145">
        <v>22</v>
      </c>
      <c r="K145">
        <v>56</v>
      </c>
      <c r="L145">
        <v>38</v>
      </c>
      <c r="M145">
        <v>5</v>
      </c>
      <c r="N145">
        <v>7</v>
      </c>
      <c r="O145">
        <v>6</v>
      </c>
      <c r="P145">
        <v>5</v>
      </c>
      <c r="Q145">
        <v>5</v>
      </c>
      <c r="R145">
        <v>8</v>
      </c>
      <c r="S145">
        <v>13</v>
      </c>
      <c r="T145">
        <f t="shared" si="4"/>
        <v>0</v>
      </c>
    </row>
    <row r="146" spans="1:20" x14ac:dyDescent="0.2">
      <c r="A146">
        <v>145</v>
      </c>
      <c r="B146" t="s">
        <v>17</v>
      </c>
      <c r="C146" t="s">
        <v>510</v>
      </c>
      <c r="D146" t="s">
        <v>179</v>
      </c>
      <c r="E146">
        <v>19240200709</v>
      </c>
      <c r="F146" t="s">
        <v>35</v>
      </c>
      <c r="G146" t="s">
        <v>38</v>
      </c>
      <c r="H146" t="s">
        <v>43</v>
      </c>
      <c r="I146">
        <v>40</v>
      </c>
      <c r="J146">
        <v>33</v>
      </c>
      <c r="K146">
        <v>73</v>
      </c>
      <c r="L146">
        <v>52</v>
      </c>
      <c r="M146">
        <v>7</v>
      </c>
      <c r="N146">
        <v>5</v>
      </c>
      <c r="O146">
        <v>9</v>
      </c>
      <c r="P146">
        <v>7</v>
      </c>
      <c r="Q146">
        <v>9</v>
      </c>
      <c r="R146">
        <v>6</v>
      </c>
      <c r="S146">
        <v>15</v>
      </c>
      <c r="T146">
        <f t="shared" si="4"/>
        <v>0</v>
      </c>
    </row>
    <row r="147" spans="1:20" x14ac:dyDescent="0.2">
      <c r="A147">
        <v>146</v>
      </c>
      <c r="B147" t="s">
        <v>17</v>
      </c>
      <c r="C147" t="s">
        <v>510</v>
      </c>
      <c r="D147" t="s">
        <v>180</v>
      </c>
      <c r="E147">
        <v>19240201505</v>
      </c>
      <c r="F147" t="s">
        <v>36</v>
      </c>
      <c r="G147" t="s">
        <v>39</v>
      </c>
      <c r="H147" t="s">
        <v>42</v>
      </c>
      <c r="I147">
        <v>24</v>
      </c>
      <c r="J147">
        <v>34</v>
      </c>
      <c r="K147">
        <v>58</v>
      </c>
      <c r="L147">
        <v>34</v>
      </c>
      <c r="M147">
        <v>10</v>
      </c>
      <c r="N147">
        <v>6</v>
      </c>
      <c r="O147">
        <v>8</v>
      </c>
      <c r="P147">
        <v>9</v>
      </c>
      <c r="Q147">
        <v>1</v>
      </c>
      <c r="R147">
        <v>8</v>
      </c>
      <c r="S147">
        <v>9</v>
      </c>
      <c r="T147">
        <f t="shared" si="4"/>
        <v>0</v>
      </c>
    </row>
    <row r="148" spans="1:20" x14ac:dyDescent="0.2">
      <c r="A148">
        <v>147</v>
      </c>
      <c r="B148" t="s">
        <v>17</v>
      </c>
      <c r="C148" t="s">
        <v>510</v>
      </c>
      <c r="D148" t="s">
        <v>181</v>
      </c>
      <c r="E148">
        <v>19240201301</v>
      </c>
      <c r="F148" t="s">
        <v>37</v>
      </c>
      <c r="G148" t="s">
        <v>24</v>
      </c>
      <c r="H148" t="s">
        <v>42</v>
      </c>
      <c r="I148">
        <v>36</v>
      </c>
      <c r="J148">
        <v>28</v>
      </c>
      <c r="K148">
        <v>64</v>
      </c>
      <c r="L148">
        <v>39</v>
      </c>
      <c r="M148">
        <v>9</v>
      </c>
      <c r="N148">
        <v>9</v>
      </c>
      <c r="O148">
        <v>7</v>
      </c>
      <c r="P148">
        <v>5</v>
      </c>
      <c r="Q148">
        <v>7</v>
      </c>
      <c r="R148">
        <v>0</v>
      </c>
      <c r="S148">
        <v>7</v>
      </c>
      <c r="T148">
        <f t="shared" si="4"/>
        <v>0</v>
      </c>
    </row>
    <row r="149" spans="1:20" x14ac:dyDescent="0.2">
      <c r="A149">
        <v>148</v>
      </c>
      <c r="B149" t="s">
        <v>17</v>
      </c>
      <c r="C149" t="s">
        <v>510</v>
      </c>
      <c r="D149" t="s">
        <v>182</v>
      </c>
      <c r="E149">
        <v>19240201401</v>
      </c>
      <c r="F149" t="s">
        <v>35</v>
      </c>
      <c r="G149" t="s">
        <v>24</v>
      </c>
      <c r="H149" t="s">
        <v>44</v>
      </c>
      <c r="I149">
        <v>27</v>
      </c>
      <c r="J149">
        <v>28</v>
      </c>
      <c r="K149">
        <v>55</v>
      </c>
      <c r="L149">
        <v>35</v>
      </c>
      <c r="M149">
        <v>8</v>
      </c>
      <c r="N149">
        <v>6</v>
      </c>
      <c r="O149">
        <v>6</v>
      </c>
      <c r="P149">
        <v>6</v>
      </c>
      <c r="Q149">
        <v>5</v>
      </c>
      <c r="R149">
        <v>9</v>
      </c>
      <c r="S149">
        <v>14</v>
      </c>
      <c r="T149">
        <f t="shared" si="4"/>
        <v>0</v>
      </c>
    </row>
    <row r="150" spans="1:20" x14ac:dyDescent="0.2">
      <c r="A150">
        <v>149</v>
      </c>
      <c r="B150" t="s">
        <v>17</v>
      </c>
      <c r="C150" t="s">
        <v>510</v>
      </c>
      <c r="D150" t="s">
        <v>183</v>
      </c>
      <c r="E150">
        <v>19240201402</v>
      </c>
      <c r="F150" t="s">
        <v>37</v>
      </c>
      <c r="G150" t="s">
        <v>23</v>
      </c>
      <c r="H150" t="s">
        <v>43</v>
      </c>
      <c r="I150">
        <v>25</v>
      </c>
      <c r="J150">
        <v>35</v>
      </c>
      <c r="K150">
        <v>60</v>
      </c>
      <c r="L150">
        <v>33</v>
      </c>
      <c r="M150">
        <v>8</v>
      </c>
      <c r="N150">
        <v>10</v>
      </c>
      <c r="O150">
        <v>9</v>
      </c>
      <c r="P150">
        <v>10</v>
      </c>
      <c r="Q150">
        <v>3</v>
      </c>
      <c r="R150">
        <v>6</v>
      </c>
      <c r="S150">
        <v>9</v>
      </c>
      <c r="T150">
        <f t="shared" si="4"/>
        <v>1</v>
      </c>
    </row>
    <row r="151" spans="1:20" x14ac:dyDescent="0.2">
      <c r="A151">
        <v>150</v>
      </c>
      <c r="B151" t="s">
        <v>17</v>
      </c>
      <c r="C151" t="s">
        <v>510</v>
      </c>
      <c r="D151" t="s">
        <v>184</v>
      </c>
      <c r="E151">
        <v>19240203902</v>
      </c>
      <c r="F151" t="s">
        <v>36</v>
      </c>
      <c r="G151" t="s">
        <v>40</v>
      </c>
      <c r="H151" t="s">
        <v>42</v>
      </c>
      <c r="I151">
        <v>28</v>
      </c>
      <c r="J151">
        <v>22</v>
      </c>
      <c r="K151">
        <v>50</v>
      </c>
      <c r="L151">
        <v>26</v>
      </c>
      <c r="M151">
        <v>9</v>
      </c>
      <c r="N151">
        <v>9</v>
      </c>
      <c r="O151">
        <v>6</v>
      </c>
      <c r="P151">
        <v>9</v>
      </c>
      <c r="Q151">
        <v>8</v>
      </c>
      <c r="R151">
        <v>10</v>
      </c>
      <c r="S151">
        <v>18</v>
      </c>
      <c r="T151">
        <f t="shared" si="4"/>
        <v>1</v>
      </c>
    </row>
    <row r="152" spans="1:20" x14ac:dyDescent="0.2">
      <c r="A152">
        <v>151</v>
      </c>
      <c r="B152" t="s">
        <v>17</v>
      </c>
      <c r="C152" t="s">
        <v>512</v>
      </c>
      <c r="D152" t="s">
        <v>185</v>
      </c>
      <c r="E152">
        <v>19240305801</v>
      </c>
      <c r="F152" t="s">
        <v>35</v>
      </c>
      <c r="G152" t="s">
        <v>23</v>
      </c>
      <c r="H152" t="s">
        <v>41</v>
      </c>
      <c r="I152">
        <v>27</v>
      </c>
      <c r="J152">
        <v>28</v>
      </c>
      <c r="K152">
        <v>55</v>
      </c>
      <c r="L152">
        <v>33</v>
      </c>
      <c r="M152">
        <v>5</v>
      </c>
      <c r="N152">
        <v>10</v>
      </c>
      <c r="O152">
        <v>7</v>
      </c>
      <c r="P152">
        <v>10</v>
      </c>
      <c r="Q152">
        <v>2</v>
      </c>
      <c r="R152">
        <v>7</v>
      </c>
      <c r="S152">
        <v>9</v>
      </c>
      <c r="T152">
        <f t="shared" si="4"/>
        <v>0</v>
      </c>
    </row>
    <row r="153" spans="1:20" x14ac:dyDescent="0.2">
      <c r="A153">
        <v>152</v>
      </c>
      <c r="B153" t="s">
        <v>17</v>
      </c>
      <c r="C153" t="s">
        <v>510</v>
      </c>
      <c r="D153" t="s">
        <v>186</v>
      </c>
      <c r="E153">
        <v>19240208302</v>
      </c>
      <c r="F153" t="s">
        <v>36</v>
      </c>
      <c r="G153" t="s">
        <v>38</v>
      </c>
      <c r="H153" t="s">
        <v>42</v>
      </c>
      <c r="I153">
        <v>31</v>
      </c>
      <c r="J153">
        <v>28</v>
      </c>
      <c r="K153">
        <v>59</v>
      </c>
      <c r="L153">
        <v>41</v>
      </c>
      <c r="M153">
        <v>6</v>
      </c>
      <c r="N153">
        <v>7</v>
      </c>
      <c r="O153">
        <v>5</v>
      </c>
      <c r="P153">
        <v>9</v>
      </c>
      <c r="Q153">
        <v>6</v>
      </c>
      <c r="R153">
        <v>6</v>
      </c>
      <c r="S153">
        <v>12</v>
      </c>
      <c r="T153">
        <f t="shared" si="4"/>
        <v>0</v>
      </c>
    </row>
    <row r="154" spans="1:20" x14ac:dyDescent="0.2">
      <c r="A154">
        <v>153</v>
      </c>
      <c r="B154" t="s">
        <v>17</v>
      </c>
      <c r="C154" t="s">
        <v>510</v>
      </c>
      <c r="D154" t="s">
        <v>187</v>
      </c>
      <c r="E154">
        <v>19240201701</v>
      </c>
      <c r="F154" t="s">
        <v>36</v>
      </c>
      <c r="G154" t="s">
        <v>39</v>
      </c>
      <c r="H154" t="s">
        <v>41</v>
      </c>
      <c r="I154">
        <v>23</v>
      </c>
      <c r="J154">
        <v>37</v>
      </c>
      <c r="K154">
        <v>60</v>
      </c>
      <c r="L154">
        <v>41</v>
      </c>
      <c r="M154">
        <v>5</v>
      </c>
      <c r="N154">
        <v>6</v>
      </c>
      <c r="O154">
        <v>8</v>
      </c>
      <c r="P154">
        <v>9</v>
      </c>
      <c r="Q154">
        <v>0</v>
      </c>
      <c r="R154">
        <v>2</v>
      </c>
      <c r="S154">
        <v>2</v>
      </c>
      <c r="T154">
        <f t="shared" si="4"/>
        <v>0</v>
      </c>
    </row>
    <row r="155" spans="1:20" x14ac:dyDescent="0.2">
      <c r="A155">
        <v>154</v>
      </c>
      <c r="B155" t="s">
        <v>17</v>
      </c>
      <c r="C155" t="s">
        <v>510</v>
      </c>
      <c r="D155" t="s">
        <v>188</v>
      </c>
      <c r="E155">
        <v>19240204904</v>
      </c>
      <c r="F155" t="s">
        <v>36</v>
      </c>
      <c r="G155" t="s">
        <v>24</v>
      </c>
      <c r="H155" t="s">
        <v>42</v>
      </c>
      <c r="I155">
        <v>30</v>
      </c>
      <c r="J155">
        <v>35</v>
      </c>
      <c r="K155">
        <v>65</v>
      </c>
      <c r="L155">
        <v>42</v>
      </c>
      <c r="M155">
        <v>5</v>
      </c>
      <c r="N155">
        <v>8</v>
      </c>
      <c r="O155">
        <v>10</v>
      </c>
      <c r="P155">
        <v>6</v>
      </c>
      <c r="Q155">
        <v>5</v>
      </c>
      <c r="R155">
        <v>2</v>
      </c>
      <c r="S155">
        <v>7</v>
      </c>
      <c r="T155">
        <f t="shared" si="4"/>
        <v>0</v>
      </c>
    </row>
    <row r="156" spans="1:20" x14ac:dyDescent="0.2">
      <c r="A156">
        <v>155</v>
      </c>
      <c r="B156" t="s">
        <v>17</v>
      </c>
      <c r="C156" t="s">
        <v>510</v>
      </c>
      <c r="D156" t="s">
        <v>189</v>
      </c>
      <c r="E156">
        <v>19240203403</v>
      </c>
      <c r="F156" t="s">
        <v>35</v>
      </c>
      <c r="G156" t="s">
        <v>38</v>
      </c>
      <c r="H156" t="s">
        <v>43</v>
      </c>
      <c r="I156">
        <v>29</v>
      </c>
      <c r="J156">
        <v>24</v>
      </c>
      <c r="K156">
        <v>53</v>
      </c>
      <c r="L156">
        <v>33</v>
      </c>
      <c r="M156">
        <v>8</v>
      </c>
      <c r="N156">
        <v>6</v>
      </c>
      <c r="O156">
        <v>6</v>
      </c>
      <c r="P156">
        <v>7</v>
      </c>
      <c r="Q156">
        <v>0</v>
      </c>
      <c r="R156">
        <v>10</v>
      </c>
      <c r="S156">
        <v>10</v>
      </c>
      <c r="T156">
        <f t="shared" si="4"/>
        <v>0</v>
      </c>
    </row>
    <row r="157" spans="1:20" x14ac:dyDescent="0.2">
      <c r="A157">
        <v>156</v>
      </c>
      <c r="B157" t="s">
        <v>17</v>
      </c>
      <c r="C157" t="s">
        <v>512</v>
      </c>
      <c r="D157" t="s">
        <v>190</v>
      </c>
      <c r="E157">
        <v>19240304802</v>
      </c>
      <c r="F157" t="s">
        <v>36</v>
      </c>
      <c r="G157" t="s">
        <v>39</v>
      </c>
      <c r="H157" t="s">
        <v>42</v>
      </c>
      <c r="I157">
        <v>32</v>
      </c>
      <c r="J157">
        <v>38</v>
      </c>
      <c r="K157">
        <v>70</v>
      </c>
      <c r="L157">
        <v>41</v>
      </c>
      <c r="M157">
        <v>10</v>
      </c>
      <c r="N157">
        <v>9</v>
      </c>
      <c r="O157">
        <v>10</v>
      </c>
      <c r="P157">
        <v>6</v>
      </c>
      <c r="Q157">
        <v>1</v>
      </c>
      <c r="R157">
        <v>1</v>
      </c>
      <c r="S157">
        <v>2</v>
      </c>
      <c r="T157">
        <f t="shared" si="4"/>
        <v>0</v>
      </c>
    </row>
    <row r="158" spans="1:20" x14ac:dyDescent="0.2">
      <c r="A158">
        <v>157</v>
      </c>
      <c r="B158" t="s">
        <v>17</v>
      </c>
      <c r="C158" t="s">
        <v>510</v>
      </c>
      <c r="D158" t="s">
        <v>191</v>
      </c>
      <c r="E158">
        <v>19240206401</v>
      </c>
      <c r="F158" t="s">
        <v>37</v>
      </c>
      <c r="G158" t="s">
        <v>24</v>
      </c>
      <c r="H158" t="s">
        <v>42</v>
      </c>
      <c r="I158">
        <v>33</v>
      </c>
      <c r="J158">
        <v>29</v>
      </c>
      <c r="K158">
        <v>62</v>
      </c>
      <c r="L158">
        <v>40</v>
      </c>
      <c r="M158">
        <v>6</v>
      </c>
      <c r="N158">
        <v>7</v>
      </c>
      <c r="O158">
        <v>9</v>
      </c>
      <c r="P158">
        <v>10</v>
      </c>
      <c r="Q158">
        <v>0</v>
      </c>
      <c r="R158">
        <v>3</v>
      </c>
      <c r="S158">
        <v>3</v>
      </c>
      <c r="T158">
        <f t="shared" si="4"/>
        <v>0</v>
      </c>
    </row>
    <row r="159" spans="1:20" x14ac:dyDescent="0.2">
      <c r="A159">
        <v>158</v>
      </c>
      <c r="B159" t="s">
        <v>17</v>
      </c>
      <c r="C159" t="s">
        <v>510</v>
      </c>
      <c r="D159" t="s">
        <v>192</v>
      </c>
      <c r="E159">
        <v>19240201901</v>
      </c>
      <c r="F159" t="s">
        <v>35</v>
      </c>
      <c r="G159" t="s">
        <v>24</v>
      </c>
      <c r="H159" t="s">
        <v>44</v>
      </c>
      <c r="I159">
        <v>22</v>
      </c>
      <c r="J159">
        <v>40</v>
      </c>
      <c r="K159">
        <v>62</v>
      </c>
      <c r="L159">
        <v>40</v>
      </c>
      <c r="M159">
        <v>9</v>
      </c>
      <c r="N159">
        <v>6</v>
      </c>
      <c r="O159">
        <v>7</v>
      </c>
      <c r="P159">
        <v>6</v>
      </c>
      <c r="Q159">
        <v>0</v>
      </c>
      <c r="R159">
        <v>3</v>
      </c>
      <c r="S159">
        <v>3</v>
      </c>
      <c r="T159">
        <f t="shared" si="4"/>
        <v>0</v>
      </c>
    </row>
    <row r="160" spans="1:20" x14ac:dyDescent="0.2">
      <c r="A160">
        <v>159</v>
      </c>
      <c r="B160" t="s">
        <v>17</v>
      </c>
      <c r="C160" t="s">
        <v>510</v>
      </c>
      <c r="D160" t="s">
        <v>193</v>
      </c>
      <c r="E160">
        <v>19240202503</v>
      </c>
      <c r="F160" t="s">
        <v>37</v>
      </c>
      <c r="G160" t="s">
        <v>23</v>
      </c>
      <c r="H160" t="s">
        <v>43</v>
      </c>
      <c r="I160">
        <v>32</v>
      </c>
      <c r="J160">
        <v>39</v>
      </c>
      <c r="K160">
        <v>71</v>
      </c>
      <c r="L160">
        <v>52</v>
      </c>
      <c r="M160">
        <v>5</v>
      </c>
      <c r="N160">
        <v>9</v>
      </c>
      <c r="O160">
        <v>5</v>
      </c>
      <c r="P160">
        <v>7</v>
      </c>
      <c r="Q160">
        <v>0</v>
      </c>
      <c r="R160">
        <v>1</v>
      </c>
      <c r="S160">
        <v>1</v>
      </c>
      <c r="T160">
        <f t="shared" si="4"/>
        <v>0</v>
      </c>
    </row>
    <row r="161" spans="1:20" x14ac:dyDescent="0.2">
      <c r="A161">
        <v>160</v>
      </c>
      <c r="B161" t="s">
        <v>17</v>
      </c>
      <c r="C161" t="s">
        <v>510</v>
      </c>
      <c r="D161" t="s">
        <v>194</v>
      </c>
      <c r="E161">
        <v>19240206702</v>
      </c>
      <c r="F161" t="s">
        <v>36</v>
      </c>
      <c r="G161" t="s">
        <v>40</v>
      </c>
      <c r="H161" t="s">
        <v>42</v>
      </c>
      <c r="I161">
        <v>36</v>
      </c>
      <c r="J161">
        <v>27</v>
      </c>
      <c r="K161">
        <v>63</v>
      </c>
      <c r="L161">
        <v>38</v>
      </c>
      <c r="M161">
        <v>6</v>
      </c>
      <c r="N161">
        <v>9</v>
      </c>
      <c r="O161">
        <v>10</v>
      </c>
      <c r="P161">
        <v>5</v>
      </c>
      <c r="Q161">
        <v>9</v>
      </c>
      <c r="R161">
        <v>6</v>
      </c>
      <c r="S161">
        <v>15</v>
      </c>
      <c r="T161">
        <f t="shared" si="4"/>
        <v>0</v>
      </c>
    </row>
    <row r="162" spans="1:20" x14ac:dyDescent="0.2">
      <c r="A162">
        <v>161</v>
      </c>
      <c r="B162" t="s">
        <v>17</v>
      </c>
      <c r="C162" t="s">
        <v>510</v>
      </c>
      <c r="D162" t="s">
        <v>195</v>
      </c>
      <c r="E162">
        <v>19240203101</v>
      </c>
      <c r="F162" t="s">
        <v>35</v>
      </c>
      <c r="G162" t="s">
        <v>23</v>
      </c>
      <c r="H162" t="s">
        <v>41</v>
      </c>
      <c r="I162">
        <v>32</v>
      </c>
      <c r="J162">
        <v>27</v>
      </c>
      <c r="K162">
        <v>59</v>
      </c>
      <c r="L162">
        <v>32</v>
      </c>
      <c r="M162">
        <v>8</v>
      </c>
      <c r="N162">
        <v>10</v>
      </c>
      <c r="O162">
        <v>9</v>
      </c>
      <c r="P162">
        <v>9</v>
      </c>
      <c r="Q162">
        <v>4</v>
      </c>
      <c r="R162">
        <v>0</v>
      </c>
      <c r="S162">
        <v>4</v>
      </c>
      <c r="T162">
        <f t="shared" si="4"/>
        <v>1</v>
      </c>
    </row>
    <row r="163" spans="1:20" x14ac:dyDescent="0.2">
      <c r="A163">
        <v>162</v>
      </c>
      <c r="B163" t="s">
        <v>17</v>
      </c>
      <c r="C163" t="s">
        <v>510</v>
      </c>
      <c r="D163" t="s">
        <v>196</v>
      </c>
      <c r="E163">
        <v>19240202201</v>
      </c>
      <c r="F163" t="s">
        <v>36</v>
      </c>
      <c r="G163" t="s">
        <v>38</v>
      </c>
      <c r="H163" t="s">
        <v>42</v>
      </c>
      <c r="I163">
        <v>35</v>
      </c>
      <c r="J163">
        <v>31</v>
      </c>
      <c r="K163">
        <v>66</v>
      </c>
      <c r="L163">
        <v>41</v>
      </c>
      <c r="M163">
        <v>9</v>
      </c>
      <c r="N163">
        <v>6</v>
      </c>
      <c r="O163">
        <v>10</v>
      </c>
      <c r="P163">
        <v>8</v>
      </c>
      <c r="Q163">
        <v>10</v>
      </c>
      <c r="R163">
        <v>0</v>
      </c>
      <c r="S163">
        <v>10</v>
      </c>
      <c r="T163">
        <f t="shared" si="4"/>
        <v>0</v>
      </c>
    </row>
    <row r="164" spans="1:20" x14ac:dyDescent="0.2">
      <c r="A164">
        <v>163</v>
      </c>
      <c r="B164" t="s">
        <v>17</v>
      </c>
      <c r="C164" t="s">
        <v>510</v>
      </c>
      <c r="D164" t="s">
        <v>197</v>
      </c>
      <c r="E164">
        <v>19240204801</v>
      </c>
      <c r="F164" t="s">
        <v>36</v>
      </c>
      <c r="G164" t="s">
        <v>39</v>
      </c>
      <c r="H164" t="s">
        <v>41</v>
      </c>
      <c r="I164">
        <v>32</v>
      </c>
      <c r="J164">
        <v>32</v>
      </c>
      <c r="K164">
        <v>64</v>
      </c>
      <c r="L164">
        <v>36</v>
      </c>
      <c r="M164">
        <v>10</v>
      </c>
      <c r="N164">
        <v>8</v>
      </c>
      <c r="O164">
        <v>10</v>
      </c>
      <c r="P164">
        <v>9</v>
      </c>
      <c r="Q164">
        <v>5</v>
      </c>
      <c r="R164">
        <v>9</v>
      </c>
      <c r="S164">
        <v>14</v>
      </c>
      <c r="T164">
        <f t="shared" si="4"/>
        <v>1</v>
      </c>
    </row>
    <row r="165" spans="1:20" x14ac:dyDescent="0.2">
      <c r="A165">
        <v>164</v>
      </c>
      <c r="B165" t="s">
        <v>17</v>
      </c>
      <c r="C165" t="s">
        <v>510</v>
      </c>
      <c r="D165" t="s">
        <v>198</v>
      </c>
      <c r="E165">
        <v>19240202101</v>
      </c>
      <c r="F165" t="s">
        <v>36</v>
      </c>
      <c r="G165" t="s">
        <v>24</v>
      </c>
      <c r="H165" t="s">
        <v>42</v>
      </c>
      <c r="I165">
        <v>36</v>
      </c>
      <c r="J165">
        <v>29</v>
      </c>
      <c r="K165">
        <v>65</v>
      </c>
      <c r="L165">
        <v>42</v>
      </c>
      <c r="M165">
        <v>8</v>
      </c>
      <c r="N165">
        <v>10</v>
      </c>
      <c r="O165">
        <v>5</v>
      </c>
      <c r="P165">
        <v>7</v>
      </c>
      <c r="Q165">
        <v>5</v>
      </c>
      <c r="R165">
        <v>5</v>
      </c>
      <c r="S165">
        <v>10</v>
      </c>
      <c r="T165">
        <f t="shared" si="4"/>
        <v>0</v>
      </c>
    </row>
    <row r="166" spans="1:20" x14ac:dyDescent="0.2">
      <c r="A166">
        <v>165</v>
      </c>
      <c r="B166" t="s">
        <v>17</v>
      </c>
      <c r="C166" t="s">
        <v>512</v>
      </c>
      <c r="D166" t="s">
        <v>199</v>
      </c>
      <c r="E166">
        <v>19240303902</v>
      </c>
      <c r="F166" t="s">
        <v>35</v>
      </c>
      <c r="G166" t="s">
        <v>38</v>
      </c>
      <c r="H166" t="s">
        <v>43</v>
      </c>
      <c r="I166">
        <v>37</v>
      </c>
      <c r="J166">
        <v>38</v>
      </c>
      <c r="K166">
        <v>75</v>
      </c>
      <c r="L166">
        <v>53</v>
      </c>
      <c r="M166">
        <v>7</v>
      </c>
      <c r="N166">
        <v>9</v>
      </c>
      <c r="O166">
        <v>6</v>
      </c>
      <c r="P166">
        <v>7</v>
      </c>
      <c r="Q166">
        <v>6</v>
      </c>
      <c r="R166">
        <v>0</v>
      </c>
      <c r="S166">
        <v>6</v>
      </c>
      <c r="T166">
        <f t="shared" si="4"/>
        <v>0</v>
      </c>
    </row>
    <row r="167" spans="1:20" x14ac:dyDescent="0.2">
      <c r="A167">
        <v>166</v>
      </c>
      <c r="B167" t="s">
        <v>17</v>
      </c>
      <c r="C167" t="s">
        <v>510</v>
      </c>
      <c r="D167" t="s">
        <v>200</v>
      </c>
      <c r="E167">
        <v>19240204901</v>
      </c>
      <c r="F167" t="s">
        <v>36</v>
      </c>
      <c r="G167" t="s">
        <v>39</v>
      </c>
      <c r="H167" t="s">
        <v>42</v>
      </c>
      <c r="I167">
        <v>23</v>
      </c>
      <c r="J167">
        <v>23</v>
      </c>
      <c r="K167">
        <v>46</v>
      </c>
      <c r="L167">
        <v>22</v>
      </c>
      <c r="M167">
        <v>8</v>
      </c>
      <c r="N167">
        <v>10</v>
      </c>
      <c r="O167">
        <v>6</v>
      </c>
      <c r="P167">
        <v>5</v>
      </c>
      <c r="Q167">
        <v>6</v>
      </c>
      <c r="R167">
        <v>8</v>
      </c>
      <c r="S167">
        <v>14</v>
      </c>
      <c r="T167">
        <f t="shared" si="4"/>
        <v>1</v>
      </c>
    </row>
    <row r="168" spans="1:20" x14ac:dyDescent="0.2">
      <c r="A168">
        <v>167</v>
      </c>
      <c r="B168" t="s">
        <v>17</v>
      </c>
      <c r="C168" t="s">
        <v>510</v>
      </c>
      <c r="D168" t="s">
        <v>201</v>
      </c>
      <c r="E168">
        <v>19240204603</v>
      </c>
      <c r="F168" t="s">
        <v>37</v>
      </c>
      <c r="G168" t="s">
        <v>24</v>
      </c>
      <c r="H168" t="s">
        <v>42</v>
      </c>
      <c r="I168">
        <v>35</v>
      </c>
      <c r="J168">
        <v>39</v>
      </c>
      <c r="K168">
        <v>74</v>
      </c>
      <c r="L168">
        <v>52</v>
      </c>
      <c r="M168">
        <v>10</v>
      </c>
      <c r="N168">
        <v>5</v>
      </c>
      <c r="O168">
        <v>7</v>
      </c>
      <c r="P168">
        <v>6</v>
      </c>
      <c r="Q168">
        <v>7</v>
      </c>
      <c r="R168">
        <v>5</v>
      </c>
      <c r="S168">
        <v>12</v>
      </c>
      <c r="T168">
        <f t="shared" si="4"/>
        <v>0</v>
      </c>
    </row>
    <row r="169" spans="1:20" x14ac:dyDescent="0.2">
      <c r="A169">
        <v>168</v>
      </c>
      <c r="B169" t="s">
        <v>17</v>
      </c>
      <c r="C169" t="s">
        <v>510</v>
      </c>
      <c r="D169" t="s">
        <v>202</v>
      </c>
      <c r="E169">
        <v>19240203801</v>
      </c>
      <c r="F169" t="s">
        <v>35</v>
      </c>
      <c r="G169" t="s">
        <v>24</v>
      </c>
      <c r="H169" t="s">
        <v>44</v>
      </c>
      <c r="I169">
        <v>40</v>
      </c>
      <c r="J169">
        <v>25</v>
      </c>
      <c r="K169">
        <v>65</v>
      </c>
      <c r="L169">
        <v>41</v>
      </c>
      <c r="M169">
        <v>10</v>
      </c>
      <c r="N169">
        <v>5</v>
      </c>
      <c r="O169">
        <v>9</v>
      </c>
      <c r="P169">
        <v>5</v>
      </c>
      <c r="Q169">
        <v>10</v>
      </c>
      <c r="R169">
        <v>5</v>
      </c>
      <c r="S169">
        <v>15</v>
      </c>
      <c r="T169">
        <f t="shared" si="4"/>
        <v>0</v>
      </c>
    </row>
    <row r="170" spans="1:20" x14ac:dyDescent="0.2">
      <c r="A170">
        <v>169</v>
      </c>
      <c r="B170" t="s">
        <v>17</v>
      </c>
      <c r="C170" t="s">
        <v>510</v>
      </c>
      <c r="D170" t="s">
        <v>203</v>
      </c>
      <c r="E170">
        <v>19240207501</v>
      </c>
      <c r="F170" t="s">
        <v>37</v>
      </c>
      <c r="G170" t="s">
        <v>23</v>
      </c>
      <c r="H170" t="s">
        <v>43</v>
      </c>
      <c r="I170">
        <v>22</v>
      </c>
      <c r="J170">
        <v>28</v>
      </c>
      <c r="K170">
        <v>50</v>
      </c>
      <c r="L170">
        <v>23</v>
      </c>
      <c r="M170">
        <v>10</v>
      </c>
      <c r="N170">
        <v>10</v>
      </c>
      <c r="O170">
        <v>7</v>
      </c>
      <c r="P170">
        <v>5</v>
      </c>
      <c r="Q170">
        <v>8</v>
      </c>
      <c r="R170">
        <v>1</v>
      </c>
      <c r="S170">
        <v>9</v>
      </c>
      <c r="T170">
        <f t="shared" si="4"/>
        <v>1</v>
      </c>
    </row>
    <row r="171" spans="1:20" x14ac:dyDescent="0.2">
      <c r="A171">
        <v>170</v>
      </c>
      <c r="B171" t="s">
        <v>17</v>
      </c>
      <c r="C171" t="s">
        <v>510</v>
      </c>
      <c r="D171" t="s">
        <v>204</v>
      </c>
      <c r="E171">
        <v>19240208301</v>
      </c>
      <c r="F171" t="s">
        <v>36</v>
      </c>
      <c r="G171" t="s">
        <v>40</v>
      </c>
      <c r="H171" t="s">
        <v>42</v>
      </c>
      <c r="I171">
        <v>30</v>
      </c>
      <c r="J171">
        <v>37</v>
      </c>
      <c r="K171">
        <v>67</v>
      </c>
      <c r="L171">
        <v>45</v>
      </c>
      <c r="M171">
        <v>8</v>
      </c>
      <c r="N171">
        <v>9</v>
      </c>
      <c r="O171">
        <v>5</v>
      </c>
      <c r="P171">
        <v>5</v>
      </c>
      <c r="Q171">
        <v>0</v>
      </c>
      <c r="R171">
        <v>8</v>
      </c>
      <c r="S171">
        <v>8</v>
      </c>
      <c r="T171">
        <f t="shared" si="4"/>
        <v>0</v>
      </c>
    </row>
    <row r="172" spans="1:20" x14ac:dyDescent="0.2">
      <c r="A172">
        <v>171</v>
      </c>
      <c r="B172" t="s">
        <v>17</v>
      </c>
      <c r="C172" t="s">
        <v>510</v>
      </c>
      <c r="D172" t="s">
        <v>205</v>
      </c>
      <c r="E172">
        <v>19240200703</v>
      </c>
      <c r="F172" t="s">
        <v>35</v>
      </c>
      <c r="G172" t="s">
        <v>23</v>
      </c>
      <c r="H172" t="s">
        <v>41</v>
      </c>
      <c r="I172">
        <v>24</v>
      </c>
      <c r="J172">
        <v>24</v>
      </c>
      <c r="K172">
        <v>48</v>
      </c>
      <c r="L172">
        <v>28</v>
      </c>
      <c r="M172">
        <v>7</v>
      </c>
      <c r="N172">
        <v>6</v>
      </c>
      <c r="O172">
        <v>7</v>
      </c>
      <c r="P172">
        <v>6</v>
      </c>
      <c r="Q172">
        <v>2</v>
      </c>
      <c r="R172">
        <v>6</v>
      </c>
      <c r="S172">
        <v>8</v>
      </c>
      <c r="T172">
        <f t="shared" si="4"/>
        <v>0</v>
      </c>
    </row>
    <row r="173" spans="1:20" x14ac:dyDescent="0.2">
      <c r="A173">
        <v>172</v>
      </c>
      <c r="B173" t="s">
        <v>17</v>
      </c>
      <c r="C173" t="s">
        <v>510</v>
      </c>
      <c r="D173" t="s">
        <v>206</v>
      </c>
      <c r="E173">
        <v>19240201904</v>
      </c>
      <c r="F173" t="s">
        <v>36</v>
      </c>
      <c r="G173" t="s">
        <v>38</v>
      </c>
      <c r="H173" t="s">
        <v>42</v>
      </c>
      <c r="I173">
        <v>40</v>
      </c>
      <c r="J173">
        <v>32</v>
      </c>
      <c r="K173">
        <v>72</v>
      </c>
      <c r="L173">
        <v>47</v>
      </c>
      <c r="M173">
        <v>9</v>
      </c>
      <c r="N173">
        <v>10</v>
      </c>
      <c r="O173">
        <v>6</v>
      </c>
      <c r="P173">
        <v>10</v>
      </c>
      <c r="Q173">
        <v>3</v>
      </c>
      <c r="R173">
        <v>4</v>
      </c>
      <c r="S173">
        <v>7</v>
      </c>
      <c r="T173">
        <f t="shared" si="4"/>
        <v>0</v>
      </c>
    </row>
    <row r="174" spans="1:20" x14ac:dyDescent="0.2">
      <c r="A174">
        <v>173</v>
      </c>
      <c r="B174" t="s">
        <v>17</v>
      </c>
      <c r="C174" t="s">
        <v>510</v>
      </c>
      <c r="D174" t="s">
        <v>207</v>
      </c>
      <c r="E174">
        <v>19240200102</v>
      </c>
      <c r="F174" t="s">
        <v>36</v>
      </c>
      <c r="G174" t="s">
        <v>39</v>
      </c>
      <c r="H174" t="s">
        <v>41</v>
      </c>
      <c r="I174">
        <v>24</v>
      </c>
      <c r="J174">
        <v>36</v>
      </c>
      <c r="K174">
        <v>60</v>
      </c>
      <c r="L174">
        <v>37</v>
      </c>
      <c r="M174">
        <v>7</v>
      </c>
      <c r="N174">
        <v>9</v>
      </c>
      <c r="O174">
        <v>7</v>
      </c>
      <c r="P174">
        <v>5</v>
      </c>
      <c r="Q174">
        <v>7</v>
      </c>
      <c r="R174">
        <v>10</v>
      </c>
      <c r="S174">
        <v>17</v>
      </c>
      <c r="T174">
        <f t="shared" si="4"/>
        <v>0</v>
      </c>
    </row>
    <row r="175" spans="1:20" x14ac:dyDescent="0.2">
      <c r="A175">
        <v>174</v>
      </c>
      <c r="B175" t="s">
        <v>17</v>
      </c>
      <c r="C175" t="s">
        <v>510</v>
      </c>
      <c r="D175" t="s">
        <v>208</v>
      </c>
      <c r="E175">
        <v>19240203201</v>
      </c>
      <c r="F175" t="s">
        <v>36</v>
      </c>
      <c r="G175" t="s">
        <v>24</v>
      </c>
      <c r="H175" t="s">
        <v>42</v>
      </c>
      <c r="I175">
        <v>28</v>
      </c>
      <c r="J175">
        <v>20</v>
      </c>
      <c r="K175">
        <v>48</v>
      </c>
      <c r="L175">
        <v>29</v>
      </c>
      <c r="M175">
        <v>5</v>
      </c>
      <c r="N175">
        <v>6</v>
      </c>
      <c r="O175">
        <v>8</v>
      </c>
      <c r="P175">
        <v>10</v>
      </c>
      <c r="Q175">
        <v>0</v>
      </c>
      <c r="R175">
        <v>2</v>
      </c>
      <c r="S175">
        <v>2</v>
      </c>
      <c r="T175">
        <f t="shared" si="4"/>
        <v>0</v>
      </c>
    </row>
    <row r="176" spans="1:20" x14ac:dyDescent="0.2">
      <c r="A176">
        <v>175</v>
      </c>
      <c r="B176" t="s">
        <v>17</v>
      </c>
      <c r="C176" t="s">
        <v>510</v>
      </c>
      <c r="D176" t="s">
        <v>209</v>
      </c>
      <c r="E176">
        <v>19240200702</v>
      </c>
      <c r="F176" t="s">
        <v>35</v>
      </c>
      <c r="G176" t="s">
        <v>38</v>
      </c>
      <c r="H176" t="s">
        <v>43</v>
      </c>
      <c r="I176">
        <v>28</v>
      </c>
      <c r="J176">
        <v>28</v>
      </c>
      <c r="K176">
        <v>56</v>
      </c>
      <c r="L176">
        <v>31</v>
      </c>
      <c r="M176">
        <v>8</v>
      </c>
      <c r="N176">
        <v>10</v>
      </c>
      <c r="O176">
        <v>7</v>
      </c>
      <c r="P176">
        <v>10</v>
      </c>
      <c r="Q176">
        <v>5</v>
      </c>
      <c r="R176">
        <v>8</v>
      </c>
      <c r="S176">
        <v>13</v>
      </c>
      <c r="T176">
        <f t="shared" si="4"/>
        <v>1</v>
      </c>
    </row>
    <row r="177" spans="1:20" x14ac:dyDescent="0.2">
      <c r="A177">
        <v>176</v>
      </c>
      <c r="B177" t="s">
        <v>17</v>
      </c>
      <c r="C177" t="s">
        <v>510</v>
      </c>
      <c r="D177" t="s">
        <v>210</v>
      </c>
      <c r="E177">
        <v>19240200704</v>
      </c>
      <c r="F177" t="s">
        <v>36</v>
      </c>
      <c r="G177" t="s">
        <v>39</v>
      </c>
      <c r="H177" t="s">
        <v>42</v>
      </c>
      <c r="I177">
        <v>33</v>
      </c>
      <c r="J177">
        <v>39</v>
      </c>
      <c r="K177">
        <v>72</v>
      </c>
      <c r="L177">
        <v>49</v>
      </c>
      <c r="M177">
        <v>8</v>
      </c>
      <c r="N177">
        <v>9</v>
      </c>
      <c r="O177">
        <v>6</v>
      </c>
      <c r="P177">
        <v>7</v>
      </c>
      <c r="Q177">
        <v>5</v>
      </c>
      <c r="R177">
        <v>4</v>
      </c>
      <c r="S177">
        <v>9</v>
      </c>
      <c r="T177">
        <f t="shared" si="4"/>
        <v>0</v>
      </c>
    </row>
    <row r="178" spans="1:20" x14ac:dyDescent="0.2">
      <c r="A178">
        <v>177</v>
      </c>
      <c r="B178" t="s">
        <v>17</v>
      </c>
      <c r="C178" t="s">
        <v>510</v>
      </c>
      <c r="D178" t="s">
        <v>211</v>
      </c>
      <c r="E178">
        <v>19240201903</v>
      </c>
      <c r="F178" t="s">
        <v>37</v>
      </c>
      <c r="G178" t="s">
        <v>24</v>
      </c>
      <c r="H178" t="s">
        <v>42</v>
      </c>
      <c r="I178">
        <v>21</v>
      </c>
      <c r="J178">
        <v>40</v>
      </c>
      <c r="K178">
        <v>61</v>
      </c>
      <c r="L178">
        <v>39</v>
      </c>
      <c r="M178">
        <v>5</v>
      </c>
      <c r="N178">
        <v>9</v>
      </c>
      <c r="O178">
        <v>8</v>
      </c>
      <c r="P178">
        <v>9</v>
      </c>
      <c r="Q178">
        <v>5</v>
      </c>
      <c r="R178">
        <v>2</v>
      </c>
      <c r="S178">
        <v>7</v>
      </c>
      <c r="T178">
        <f t="shared" ref="T178:T194" si="5">IF(SUM(M178:P178) &gt; L178, 1, 0)</f>
        <v>0</v>
      </c>
    </row>
    <row r="179" spans="1:20" x14ac:dyDescent="0.2">
      <c r="A179">
        <v>178</v>
      </c>
      <c r="B179" t="s">
        <v>17</v>
      </c>
      <c r="C179" t="s">
        <v>510</v>
      </c>
      <c r="D179" t="s">
        <v>212</v>
      </c>
      <c r="E179">
        <v>19240202304</v>
      </c>
      <c r="F179" t="s">
        <v>35</v>
      </c>
      <c r="G179" t="s">
        <v>24</v>
      </c>
      <c r="H179" t="s">
        <v>44</v>
      </c>
      <c r="I179">
        <v>33</v>
      </c>
      <c r="J179">
        <v>25</v>
      </c>
      <c r="K179">
        <v>58</v>
      </c>
      <c r="L179">
        <v>35</v>
      </c>
      <c r="M179">
        <v>8</v>
      </c>
      <c r="N179">
        <v>5</v>
      </c>
      <c r="O179">
        <v>10</v>
      </c>
      <c r="P179">
        <v>5</v>
      </c>
      <c r="Q179">
        <v>9</v>
      </c>
      <c r="R179">
        <v>4</v>
      </c>
      <c r="S179">
        <v>13</v>
      </c>
      <c r="T179">
        <f t="shared" si="5"/>
        <v>0</v>
      </c>
    </row>
    <row r="180" spans="1:20" x14ac:dyDescent="0.2">
      <c r="A180">
        <v>179</v>
      </c>
      <c r="B180" t="s">
        <v>17</v>
      </c>
      <c r="C180" t="s">
        <v>510</v>
      </c>
      <c r="D180" t="s">
        <v>213</v>
      </c>
      <c r="E180">
        <v>19240202303</v>
      </c>
      <c r="F180" t="s">
        <v>37</v>
      </c>
      <c r="G180" t="s">
        <v>23</v>
      </c>
      <c r="H180" t="s">
        <v>43</v>
      </c>
      <c r="I180">
        <v>28</v>
      </c>
      <c r="J180">
        <v>20</v>
      </c>
      <c r="K180">
        <v>48</v>
      </c>
      <c r="L180">
        <v>24</v>
      </c>
      <c r="M180">
        <v>5</v>
      </c>
      <c r="N180">
        <v>9</v>
      </c>
      <c r="O180">
        <v>10</v>
      </c>
      <c r="P180">
        <v>9</v>
      </c>
      <c r="Q180">
        <v>2</v>
      </c>
      <c r="R180">
        <v>9</v>
      </c>
      <c r="S180">
        <v>11</v>
      </c>
      <c r="T180">
        <f t="shared" si="5"/>
        <v>1</v>
      </c>
    </row>
    <row r="181" spans="1:20" x14ac:dyDescent="0.2">
      <c r="A181">
        <v>180</v>
      </c>
      <c r="B181" t="s">
        <v>17</v>
      </c>
      <c r="C181" t="s">
        <v>510</v>
      </c>
      <c r="D181" t="s">
        <v>214</v>
      </c>
      <c r="E181">
        <v>19240208201</v>
      </c>
      <c r="F181" t="s">
        <v>36</v>
      </c>
      <c r="G181" t="s">
        <v>40</v>
      </c>
      <c r="H181" t="s">
        <v>42</v>
      </c>
      <c r="I181">
        <v>28</v>
      </c>
      <c r="J181">
        <v>39</v>
      </c>
      <c r="K181">
        <v>67</v>
      </c>
      <c r="L181">
        <v>45</v>
      </c>
      <c r="M181">
        <v>8</v>
      </c>
      <c r="N181">
        <v>9</v>
      </c>
      <c r="O181">
        <v>5</v>
      </c>
      <c r="P181">
        <v>5</v>
      </c>
      <c r="Q181">
        <v>3</v>
      </c>
      <c r="R181">
        <v>5</v>
      </c>
      <c r="S181">
        <v>8</v>
      </c>
      <c r="T181">
        <f t="shared" si="5"/>
        <v>0</v>
      </c>
    </row>
    <row r="182" spans="1:20" x14ac:dyDescent="0.2">
      <c r="A182">
        <v>181</v>
      </c>
      <c r="B182" t="s">
        <v>17</v>
      </c>
      <c r="C182" t="s">
        <v>510</v>
      </c>
      <c r="D182" t="s">
        <v>215</v>
      </c>
      <c r="E182">
        <v>19240202804</v>
      </c>
      <c r="F182" t="s">
        <v>35</v>
      </c>
      <c r="G182" t="s">
        <v>23</v>
      </c>
      <c r="H182" t="s">
        <v>41</v>
      </c>
      <c r="I182">
        <v>36</v>
      </c>
      <c r="J182">
        <v>32</v>
      </c>
      <c r="K182">
        <v>68</v>
      </c>
      <c r="L182">
        <v>46</v>
      </c>
      <c r="M182">
        <v>6</v>
      </c>
      <c r="N182">
        <v>7</v>
      </c>
      <c r="O182">
        <v>9</v>
      </c>
      <c r="P182">
        <v>5</v>
      </c>
      <c r="Q182">
        <v>2</v>
      </c>
      <c r="R182">
        <v>8</v>
      </c>
      <c r="S182">
        <v>10</v>
      </c>
      <c r="T182">
        <f t="shared" si="5"/>
        <v>0</v>
      </c>
    </row>
    <row r="183" spans="1:20" x14ac:dyDescent="0.2">
      <c r="A183">
        <v>182</v>
      </c>
      <c r="B183" t="s">
        <v>17</v>
      </c>
      <c r="C183" t="s">
        <v>510</v>
      </c>
      <c r="D183" t="s">
        <v>216</v>
      </c>
      <c r="E183">
        <v>19240201201</v>
      </c>
      <c r="F183" t="s">
        <v>36</v>
      </c>
      <c r="G183" t="s">
        <v>38</v>
      </c>
      <c r="H183" t="s">
        <v>42</v>
      </c>
      <c r="I183">
        <v>39</v>
      </c>
      <c r="J183">
        <v>39</v>
      </c>
      <c r="K183">
        <v>78</v>
      </c>
      <c r="L183">
        <v>57</v>
      </c>
      <c r="M183">
        <v>10</v>
      </c>
      <c r="N183">
        <v>6</v>
      </c>
      <c r="O183">
        <v>5</v>
      </c>
      <c r="P183">
        <v>8</v>
      </c>
      <c r="Q183">
        <v>6</v>
      </c>
      <c r="R183">
        <v>4</v>
      </c>
      <c r="S183">
        <v>10</v>
      </c>
      <c r="T183">
        <f t="shared" si="5"/>
        <v>0</v>
      </c>
    </row>
    <row r="184" spans="1:20" x14ac:dyDescent="0.2">
      <c r="A184">
        <v>183</v>
      </c>
      <c r="B184" t="s">
        <v>17</v>
      </c>
      <c r="C184" t="s">
        <v>512</v>
      </c>
      <c r="D184" t="s">
        <v>217</v>
      </c>
      <c r="E184">
        <v>19240303702</v>
      </c>
      <c r="F184" t="s">
        <v>36</v>
      </c>
      <c r="G184" t="s">
        <v>39</v>
      </c>
      <c r="H184" t="s">
        <v>41</v>
      </c>
      <c r="I184">
        <v>37</v>
      </c>
      <c r="J184">
        <v>25</v>
      </c>
      <c r="K184">
        <v>62</v>
      </c>
      <c r="L184">
        <v>40</v>
      </c>
      <c r="M184">
        <v>6</v>
      </c>
      <c r="N184">
        <v>9</v>
      </c>
      <c r="O184">
        <v>7</v>
      </c>
      <c r="P184">
        <v>6</v>
      </c>
      <c r="Q184">
        <v>2</v>
      </c>
      <c r="R184">
        <v>3</v>
      </c>
      <c r="S184">
        <v>5</v>
      </c>
      <c r="T184">
        <f t="shared" si="5"/>
        <v>0</v>
      </c>
    </row>
    <row r="185" spans="1:20" x14ac:dyDescent="0.2">
      <c r="A185">
        <v>184</v>
      </c>
      <c r="B185" t="s">
        <v>17</v>
      </c>
      <c r="C185" t="s">
        <v>510</v>
      </c>
      <c r="D185" t="s">
        <v>218</v>
      </c>
      <c r="E185">
        <v>19240203301</v>
      </c>
      <c r="F185" t="s">
        <v>36</v>
      </c>
      <c r="G185" t="s">
        <v>24</v>
      </c>
      <c r="H185" t="s">
        <v>42</v>
      </c>
      <c r="I185">
        <v>35</v>
      </c>
      <c r="J185">
        <v>34</v>
      </c>
      <c r="K185">
        <v>69</v>
      </c>
      <c r="L185">
        <v>51</v>
      </c>
      <c r="M185">
        <v>6</v>
      </c>
      <c r="N185">
        <v>5</v>
      </c>
      <c r="O185">
        <v>7</v>
      </c>
      <c r="P185">
        <v>5</v>
      </c>
      <c r="Q185">
        <v>1</v>
      </c>
      <c r="R185">
        <v>1</v>
      </c>
      <c r="S185">
        <v>2</v>
      </c>
      <c r="T185">
        <f t="shared" si="5"/>
        <v>0</v>
      </c>
    </row>
    <row r="186" spans="1:20" x14ac:dyDescent="0.2">
      <c r="A186">
        <v>185</v>
      </c>
      <c r="B186" t="s">
        <v>17</v>
      </c>
      <c r="C186" t="s">
        <v>512</v>
      </c>
      <c r="D186" t="s">
        <v>219</v>
      </c>
      <c r="E186">
        <v>19240302902</v>
      </c>
      <c r="F186" t="s">
        <v>35</v>
      </c>
      <c r="G186" t="s">
        <v>38</v>
      </c>
      <c r="H186" t="s">
        <v>43</v>
      </c>
      <c r="I186">
        <v>40</v>
      </c>
      <c r="J186">
        <v>40</v>
      </c>
      <c r="K186">
        <v>80</v>
      </c>
      <c r="L186">
        <v>57</v>
      </c>
      <c r="M186">
        <v>6</v>
      </c>
      <c r="N186">
        <v>7</v>
      </c>
      <c r="O186">
        <v>10</v>
      </c>
      <c r="P186">
        <v>9</v>
      </c>
      <c r="Q186">
        <v>10</v>
      </c>
      <c r="R186">
        <v>3</v>
      </c>
      <c r="S186">
        <v>13</v>
      </c>
      <c r="T186">
        <f t="shared" si="5"/>
        <v>0</v>
      </c>
    </row>
    <row r="187" spans="1:20" x14ac:dyDescent="0.2">
      <c r="A187">
        <v>186</v>
      </c>
      <c r="B187" t="s">
        <v>17</v>
      </c>
      <c r="C187" t="s">
        <v>510</v>
      </c>
      <c r="D187" t="s">
        <v>220</v>
      </c>
      <c r="E187">
        <v>19240202803</v>
      </c>
      <c r="F187" t="s">
        <v>36</v>
      </c>
      <c r="G187" t="s">
        <v>39</v>
      </c>
      <c r="H187" t="s">
        <v>42</v>
      </c>
      <c r="I187">
        <v>21</v>
      </c>
      <c r="J187">
        <v>25</v>
      </c>
      <c r="K187">
        <v>46</v>
      </c>
      <c r="L187">
        <v>23</v>
      </c>
      <c r="M187">
        <v>9</v>
      </c>
      <c r="N187">
        <v>9</v>
      </c>
      <c r="O187">
        <v>5</v>
      </c>
      <c r="P187">
        <v>5</v>
      </c>
      <c r="Q187">
        <v>9</v>
      </c>
      <c r="R187">
        <v>7</v>
      </c>
      <c r="S187">
        <v>16</v>
      </c>
      <c r="T187">
        <f t="shared" si="5"/>
        <v>1</v>
      </c>
    </row>
    <row r="188" spans="1:20" x14ac:dyDescent="0.2">
      <c r="A188">
        <v>187</v>
      </c>
      <c r="B188" t="s">
        <v>17</v>
      </c>
      <c r="C188" t="s">
        <v>510</v>
      </c>
      <c r="D188" t="s">
        <v>221</v>
      </c>
      <c r="E188">
        <v>19240203601</v>
      </c>
      <c r="F188" t="s">
        <v>37</v>
      </c>
      <c r="G188" t="s">
        <v>24</v>
      </c>
      <c r="H188" t="s">
        <v>42</v>
      </c>
      <c r="I188">
        <v>28</v>
      </c>
      <c r="J188">
        <v>26</v>
      </c>
      <c r="K188">
        <v>54</v>
      </c>
      <c r="L188">
        <v>31</v>
      </c>
      <c r="M188">
        <v>6</v>
      </c>
      <c r="N188">
        <v>7</v>
      </c>
      <c r="O188">
        <v>10</v>
      </c>
      <c r="P188">
        <v>9</v>
      </c>
      <c r="Q188">
        <v>6</v>
      </c>
      <c r="R188">
        <v>8</v>
      </c>
      <c r="S188">
        <v>14</v>
      </c>
      <c r="T188">
        <f t="shared" si="5"/>
        <v>1</v>
      </c>
    </row>
    <row r="189" spans="1:20" x14ac:dyDescent="0.2">
      <c r="A189">
        <v>188</v>
      </c>
      <c r="B189" t="s">
        <v>17</v>
      </c>
      <c r="C189" t="s">
        <v>510</v>
      </c>
      <c r="D189" t="s">
        <v>222</v>
      </c>
      <c r="E189">
        <v>19240205701</v>
      </c>
      <c r="F189" t="s">
        <v>35</v>
      </c>
      <c r="G189" t="s">
        <v>24</v>
      </c>
      <c r="H189" t="s">
        <v>44</v>
      </c>
      <c r="I189">
        <v>21</v>
      </c>
      <c r="J189">
        <v>39</v>
      </c>
      <c r="K189">
        <v>60</v>
      </c>
      <c r="L189">
        <v>43</v>
      </c>
      <c r="M189">
        <v>7</v>
      </c>
      <c r="N189">
        <v>5</v>
      </c>
      <c r="O189">
        <v>5</v>
      </c>
      <c r="P189">
        <v>6</v>
      </c>
      <c r="Q189">
        <v>7</v>
      </c>
      <c r="R189">
        <v>10</v>
      </c>
      <c r="S189">
        <v>17</v>
      </c>
      <c r="T189">
        <f t="shared" si="5"/>
        <v>0</v>
      </c>
    </row>
    <row r="190" spans="1:20" x14ac:dyDescent="0.2">
      <c r="A190">
        <v>189</v>
      </c>
      <c r="B190" t="s">
        <v>17</v>
      </c>
      <c r="C190" t="s">
        <v>510</v>
      </c>
      <c r="D190" t="s">
        <v>223</v>
      </c>
      <c r="E190">
        <v>19240205209</v>
      </c>
      <c r="F190" t="s">
        <v>37</v>
      </c>
      <c r="G190" t="s">
        <v>23</v>
      </c>
      <c r="H190" t="s">
        <v>43</v>
      </c>
      <c r="I190">
        <v>21</v>
      </c>
      <c r="J190">
        <v>33</v>
      </c>
      <c r="K190">
        <v>54</v>
      </c>
      <c r="L190">
        <v>30</v>
      </c>
      <c r="M190">
        <v>8</v>
      </c>
      <c r="N190">
        <v>7</v>
      </c>
      <c r="O190">
        <v>9</v>
      </c>
      <c r="P190">
        <v>5</v>
      </c>
      <c r="Q190">
        <v>10</v>
      </c>
      <c r="R190">
        <v>0</v>
      </c>
      <c r="S190">
        <v>10</v>
      </c>
      <c r="T190">
        <f t="shared" si="5"/>
        <v>0</v>
      </c>
    </row>
    <row r="191" spans="1:20" x14ac:dyDescent="0.2">
      <c r="A191">
        <v>190</v>
      </c>
      <c r="B191" t="s">
        <v>17</v>
      </c>
      <c r="C191" t="s">
        <v>510</v>
      </c>
      <c r="D191" t="s">
        <v>224</v>
      </c>
      <c r="E191">
        <v>19240205207</v>
      </c>
      <c r="F191" t="s">
        <v>36</v>
      </c>
      <c r="G191" t="s">
        <v>40</v>
      </c>
      <c r="H191" t="s">
        <v>42</v>
      </c>
      <c r="I191">
        <v>40</v>
      </c>
      <c r="J191">
        <v>40</v>
      </c>
      <c r="K191">
        <v>80</v>
      </c>
      <c r="L191">
        <v>60</v>
      </c>
      <c r="M191">
        <v>5</v>
      </c>
      <c r="N191">
        <v>5</v>
      </c>
      <c r="O191">
        <v>10</v>
      </c>
      <c r="P191">
        <v>8</v>
      </c>
      <c r="Q191">
        <v>3</v>
      </c>
      <c r="R191">
        <v>5</v>
      </c>
      <c r="S191">
        <v>8</v>
      </c>
      <c r="T191">
        <f t="shared" si="5"/>
        <v>0</v>
      </c>
    </row>
    <row r="192" spans="1:20" x14ac:dyDescent="0.2">
      <c r="A192">
        <v>191</v>
      </c>
      <c r="B192" t="s">
        <v>17</v>
      </c>
      <c r="C192" t="s">
        <v>510</v>
      </c>
      <c r="D192" t="s">
        <v>225</v>
      </c>
      <c r="E192">
        <v>19240205202</v>
      </c>
      <c r="F192" t="s">
        <v>35</v>
      </c>
      <c r="G192" t="s">
        <v>23</v>
      </c>
      <c r="H192" t="s">
        <v>41</v>
      </c>
      <c r="I192">
        <v>23</v>
      </c>
      <c r="J192">
        <v>29</v>
      </c>
      <c r="K192">
        <v>52</v>
      </c>
      <c r="L192">
        <v>32</v>
      </c>
      <c r="M192">
        <v>7</v>
      </c>
      <c r="N192">
        <v>7</v>
      </c>
      <c r="O192">
        <v>6</v>
      </c>
      <c r="P192">
        <v>7</v>
      </c>
      <c r="Q192">
        <v>2</v>
      </c>
      <c r="R192">
        <v>10</v>
      </c>
      <c r="S192">
        <v>12</v>
      </c>
      <c r="T192">
        <f t="shared" si="5"/>
        <v>0</v>
      </c>
    </row>
    <row r="193" spans="1:20" x14ac:dyDescent="0.2">
      <c r="A193">
        <v>192</v>
      </c>
      <c r="B193" t="s">
        <v>17</v>
      </c>
      <c r="C193" t="s">
        <v>510</v>
      </c>
      <c r="D193" t="s">
        <v>226</v>
      </c>
      <c r="E193">
        <v>19240207803</v>
      </c>
      <c r="F193" t="s">
        <v>36</v>
      </c>
      <c r="G193" t="s">
        <v>38</v>
      </c>
      <c r="H193" t="s">
        <v>42</v>
      </c>
      <c r="I193">
        <v>30</v>
      </c>
      <c r="J193">
        <v>26</v>
      </c>
      <c r="K193">
        <v>56</v>
      </c>
      <c r="L193">
        <v>31</v>
      </c>
      <c r="M193">
        <v>9</v>
      </c>
      <c r="N193">
        <v>10</v>
      </c>
      <c r="O193">
        <v>6</v>
      </c>
      <c r="P193">
        <v>10</v>
      </c>
      <c r="Q193">
        <v>2</v>
      </c>
      <c r="R193">
        <v>7</v>
      </c>
      <c r="S193">
        <v>9</v>
      </c>
      <c r="T193">
        <f t="shared" si="5"/>
        <v>1</v>
      </c>
    </row>
    <row r="194" spans="1:20" x14ac:dyDescent="0.2">
      <c r="A194">
        <v>193</v>
      </c>
      <c r="B194" t="s">
        <v>17</v>
      </c>
      <c r="C194" t="s">
        <v>510</v>
      </c>
      <c r="D194" t="s">
        <v>227</v>
      </c>
      <c r="E194">
        <v>19240200803</v>
      </c>
      <c r="F194" t="s">
        <v>36</v>
      </c>
      <c r="G194" t="s">
        <v>39</v>
      </c>
      <c r="H194" t="s">
        <v>41</v>
      </c>
      <c r="I194">
        <v>23</v>
      </c>
      <c r="J194">
        <v>29</v>
      </c>
      <c r="K194">
        <v>52</v>
      </c>
      <c r="L194">
        <v>33</v>
      </c>
      <c r="M194">
        <v>6</v>
      </c>
      <c r="N194">
        <v>5</v>
      </c>
      <c r="O194">
        <v>8</v>
      </c>
      <c r="P194">
        <v>6</v>
      </c>
      <c r="Q194">
        <v>5</v>
      </c>
      <c r="R194">
        <v>8</v>
      </c>
      <c r="S194">
        <v>13</v>
      </c>
      <c r="T194">
        <f t="shared" si="5"/>
        <v>0</v>
      </c>
    </row>
    <row r="195" spans="1:20" x14ac:dyDescent="0.2">
      <c r="A195">
        <v>194</v>
      </c>
      <c r="B195" t="s">
        <v>17</v>
      </c>
      <c r="C195" t="s">
        <v>510</v>
      </c>
      <c r="D195" t="s">
        <v>228</v>
      </c>
      <c r="E195">
        <v>19240207901</v>
      </c>
      <c r="F195" t="s">
        <v>36</v>
      </c>
      <c r="G195" t="s">
        <v>24</v>
      </c>
      <c r="H195" t="s">
        <v>42</v>
      </c>
      <c r="I195">
        <v>29</v>
      </c>
      <c r="J195">
        <v>27</v>
      </c>
      <c r="K195">
        <v>56</v>
      </c>
      <c r="L195">
        <v>29</v>
      </c>
      <c r="M195">
        <v>10</v>
      </c>
      <c r="N195">
        <v>9</v>
      </c>
      <c r="O195">
        <v>8</v>
      </c>
      <c r="P195">
        <v>8</v>
      </c>
      <c r="Q195">
        <v>1</v>
      </c>
      <c r="R195">
        <v>2</v>
      </c>
      <c r="S195">
        <v>3</v>
      </c>
      <c r="T195">
        <f t="shared" ref="T195:T240" si="6">IF(SUM(M195:P195) &gt; L195, 1, 0)</f>
        <v>1</v>
      </c>
    </row>
    <row r="196" spans="1:20" x14ac:dyDescent="0.2">
      <c r="A196">
        <v>195</v>
      </c>
      <c r="B196" t="s">
        <v>17</v>
      </c>
      <c r="C196" t="s">
        <v>510</v>
      </c>
      <c r="D196" t="s">
        <v>229</v>
      </c>
      <c r="E196">
        <v>19240203402</v>
      </c>
      <c r="F196" t="s">
        <v>35</v>
      </c>
      <c r="G196" t="s">
        <v>38</v>
      </c>
      <c r="H196" t="s">
        <v>43</v>
      </c>
      <c r="I196">
        <v>25</v>
      </c>
      <c r="J196">
        <v>26</v>
      </c>
      <c r="K196">
        <v>51</v>
      </c>
      <c r="L196">
        <v>22</v>
      </c>
      <c r="M196">
        <v>10</v>
      </c>
      <c r="N196">
        <v>9</v>
      </c>
      <c r="O196">
        <v>10</v>
      </c>
      <c r="P196">
        <v>5</v>
      </c>
      <c r="Q196">
        <v>4</v>
      </c>
      <c r="R196">
        <v>9</v>
      </c>
      <c r="S196">
        <v>13</v>
      </c>
      <c r="T196">
        <f t="shared" si="6"/>
        <v>1</v>
      </c>
    </row>
    <row r="197" spans="1:20" x14ac:dyDescent="0.2">
      <c r="A197">
        <v>196</v>
      </c>
      <c r="B197" t="s">
        <v>17</v>
      </c>
      <c r="C197" t="s">
        <v>510</v>
      </c>
      <c r="D197" t="s">
        <v>230</v>
      </c>
      <c r="E197">
        <v>19240204602</v>
      </c>
      <c r="F197" t="s">
        <v>36</v>
      </c>
      <c r="G197" t="s">
        <v>39</v>
      </c>
      <c r="H197" t="s">
        <v>42</v>
      </c>
      <c r="I197">
        <v>29</v>
      </c>
      <c r="J197">
        <v>36</v>
      </c>
      <c r="K197">
        <v>65</v>
      </c>
      <c r="L197">
        <v>44</v>
      </c>
      <c r="M197">
        <v>7</v>
      </c>
      <c r="N197">
        <v>6</v>
      </c>
      <c r="O197">
        <v>8</v>
      </c>
      <c r="P197">
        <v>5</v>
      </c>
      <c r="Q197">
        <v>7</v>
      </c>
      <c r="R197">
        <v>7</v>
      </c>
      <c r="S197">
        <v>14</v>
      </c>
      <c r="T197">
        <f t="shared" si="6"/>
        <v>0</v>
      </c>
    </row>
    <row r="198" spans="1:20" x14ac:dyDescent="0.2">
      <c r="A198">
        <v>197</v>
      </c>
      <c r="B198" t="s">
        <v>17</v>
      </c>
      <c r="C198" t="s">
        <v>510</v>
      </c>
      <c r="D198" t="s">
        <v>231</v>
      </c>
      <c r="E198">
        <v>19240207101</v>
      </c>
      <c r="F198" t="s">
        <v>37</v>
      </c>
      <c r="G198" t="s">
        <v>24</v>
      </c>
      <c r="H198" t="s">
        <v>42</v>
      </c>
      <c r="I198">
        <v>26</v>
      </c>
      <c r="J198">
        <v>24</v>
      </c>
      <c r="K198">
        <v>50</v>
      </c>
      <c r="L198">
        <v>23</v>
      </c>
      <c r="M198">
        <v>10</v>
      </c>
      <c r="N198">
        <v>9</v>
      </c>
      <c r="O198">
        <v>8</v>
      </c>
      <c r="P198">
        <v>6</v>
      </c>
      <c r="Q198">
        <v>8</v>
      </c>
      <c r="R198">
        <v>8</v>
      </c>
      <c r="S198">
        <v>16</v>
      </c>
      <c r="T198">
        <f t="shared" si="6"/>
        <v>1</v>
      </c>
    </row>
    <row r="199" spans="1:20" x14ac:dyDescent="0.2">
      <c r="A199">
        <v>198</v>
      </c>
      <c r="B199" t="s">
        <v>17</v>
      </c>
      <c r="C199" t="s">
        <v>510</v>
      </c>
      <c r="D199" t="s">
        <v>232</v>
      </c>
      <c r="E199">
        <v>19240205401</v>
      </c>
      <c r="F199" t="s">
        <v>35</v>
      </c>
      <c r="G199" t="s">
        <v>24</v>
      </c>
      <c r="H199" t="s">
        <v>44</v>
      </c>
      <c r="I199">
        <v>20</v>
      </c>
      <c r="J199">
        <v>37</v>
      </c>
      <c r="K199">
        <v>57</v>
      </c>
      <c r="L199">
        <v>37</v>
      </c>
      <c r="M199">
        <v>6</v>
      </c>
      <c r="N199">
        <v>7</v>
      </c>
      <c r="O199">
        <v>7</v>
      </c>
      <c r="P199">
        <v>6</v>
      </c>
      <c r="Q199">
        <v>6</v>
      </c>
      <c r="R199">
        <v>6</v>
      </c>
      <c r="S199">
        <v>12</v>
      </c>
      <c r="T199">
        <f t="shared" si="6"/>
        <v>0</v>
      </c>
    </row>
    <row r="200" spans="1:20" x14ac:dyDescent="0.2">
      <c r="A200">
        <v>199</v>
      </c>
      <c r="B200" t="s">
        <v>17</v>
      </c>
      <c r="C200" t="s">
        <v>510</v>
      </c>
      <c r="D200" t="s">
        <v>233</v>
      </c>
      <c r="E200">
        <v>19240205501</v>
      </c>
      <c r="F200" t="s">
        <v>37</v>
      </c>
      <c r="G200" t="s">
        <v>23</v>
      </c>
      <c r="H200" t="s">
        <v>43</v>
      </c>
      <c r="I200">
        <v>31</v>
      </c>
      <c r="J200">
        <v>31</v>
      </c>
      <c r="K200">
        <v>62</v>
      </c>
      <c r="L200">
        <v>33</v>
      </c>
      <c r="M200">
        <v>9</v>
      </c>
      <c r="N200">
        <v>10</v>
      </c>
      <c r="O200">
        <v>10</v>
      </c>
      <c r="P200">
        <v>7</v>
      </c>
      <c r="Q200">
        <v>6</v>
      </c>
      <c r="R200">
        <v>10</v>
      </c>
      <c r="S200">
        <v>16</v>
      </c>
      <c r="T200">
        <f t="shared" si="6"/>
        <v>1</v>
      </c>
    </row>
    <row r="201" spans="1:20" x14ac:dyDescent="0.2">
      <c r="A201">
        <v>200</v>
      </c>
      <c r="B201" t="s">
        <v>17</v>
      </c>
      <c r="C201" t="s">
        <v>510</v>
      </c>
      <c r="D201" t="s">
        <v>234</v>
      </c>
      <c r="E201">
        <v>19240203501</v>
      </c>
      <c r="F201" t="s">
        <v>36</v>
      </c>
      <c r="G201" t="s">
        <v>40</v>
      </c>
      <c r="H201" t="s">
        <v>42</v>
      </c>
      <c r="I201">
        <v>29</v>
      </c>
      <c r="J201">
        <v>34</v>
      </c>
      <c r="K201">
        <v>63</v>
      </c>
      <c r="L201">
        <v>41</v>
      </c>
      <c r="M201">
        <v>5</v>
      </c>
      <c r="N201">
        <v>8</v>
      </c>
      <c r="O201">
        <v>9</v>
      </c>
      <c r="P201">
        <v>10</v>
      </c>
      <c r="Q201">
        <v>4</v>
      </c>
      <c r="R201">
        <v>5</v>
      </c>
      <c r="S201">
        <v>9</v>
      </c>
      <c r="T201">
        <f t="shared" si="6"/>
        <v>0</v>
      </c>
    </row>
    <row r="202" spans="1:20" x14ac:dyDescent="0.2">
      <c r="A202">
        <v>201</v>
      </c>
      <c r="B202" t="s">
        <v>17</v>
      </c>
      <c r="C202" t="s">
        <v>510</v>
      </c>
      <c r="D202" t="s">
        <v>235</v>
      </c>
      <c r="E202">
        <v>19240200705</v>
      </c>
      <c r="F202" t="s">
        <v>35</v>
      </c>
      <c r="G202" t="s">
        <v>23</v>
      </c>
      <c r="H202" t="s">
        <v>41</v>
      </c>
      <c r="I202">
        <v>38</v>
      </c>
      <c r="J202">
        <v>37</v>
      </c>
      <c r="K202">
        <v>75</v>
      </c>
      <c r="L202">
        <v>53</v>
      </c>
      <c r="M202">
        <v>8</v>
      </c>
      <c r="N202">
        <v>5</v>
      </c>
      <c r="O202">
        <v>9</v>
      </c>
      <c r="P202">
        <v>10</v>
      </c>
      <c r="Q202">
        <v>10</v>
      </c>
      <c r="R202">
        <v>5</v>
      </c>
      <c r="S202">
        <v>15</v>
      </c>
      <c r="T202">
        <f t="shared" si="6"/>
        <v>0</v>
      </c>
    </row>
    <row r="203" spans="1:20" x14ac:dyDescent="0.2">
      <c r="A203">
        <v>202</v>
      </c>
      <c r="B203" t="s">
        <v>17</v>
      </c>
      <c r="C203" t="s">
        <v>510</v>
      </c>
      <c r="D203" t="s">
        <v>236</v>
      </c>
      <c r="E203">
        <v>19240204701</v>
      </c>
      <c r="F203" t="s">
        <v>36</v>
      </c>
      <c r="G203" t="s">
        <v>38</v>
      </c>
      <c r="H203" t="s">
        <v>42</v>
      </c>
      <c r="I203">
        <v>31</v>
      </c>
      <c r="J203">
        <v>24</v>
      </c>
      <c r="K203">
        <v>55</v>
      </c>
      <c r="L203">
        <v>26</v>
      </c>
      <c r="M203">
        <v>9</v>
      </c>
      <c r="N203">
        <v>10</v>
      </c>
      <c r="O203">
        <v>10</v>
      </c>
      <c r="P203">
        <v>10</v>
      </c>
      <c r="Q203">
        <v>2</v>
      </c>
      <c r="R203">
        <v>6</v>
      </c>
      <c r="S203">
        <v>8</v>
      </c>
      <c r="T203">
        <f t="shared" si="6"/>
        <v>1</v>
      </c>
    </row>
    <row r="204" spans="1:20" x14ac:dyDescent="0.2">
      <c r="A204">
        <v>203</v>
      </c>
      <c r="B204" t="s">
        <v>17</v>
      </c>
      <c r="C204" t="s">
        <v>510</v>
      </c>
      <c r="D204" t="s">
        <v>237</v>
      </c>
      <c r="E204">
        <v>19240204504</v>
      </c>
      <c r="F204" t="s">
        <v>36</v>
      </c>
      <c r="G204" t="s">
        <v>39</v>
      </c>
      <c r="H204" t="s">
        <v>41</v>
      </c>
      <c r="I204">
        <v>25</v>
      </c>
      <c r="J204">
        <v>26</v>
      </c>
      <c r="K204">
        <v>51</v>
      </c>
      <c r="L204">
        <v>30</v>
      </c>
      <c r="M204">
        <v>9</v>
      </c>
      <c r="N204">
        <v>5</v>
      </c>
      <c r="O204">
        <v>7</v>
      </c>
      <c r="P204">
        <v>7</v>
      </c>
      <c r="Q204">
        <v>3</v>
      </c>
      <c r="R204">
        <v>9</v>
      </c>
      <c r="S204">
        <v>12</v>
      </c>
      <c r="T204">
        <f t="shared" si="6"/>
        <v>0</v>
      </c>
    </row>
    <row r="205" spans="1:20" x14ac:dyDescent="0.2">
      <c r="A205">
        <v>204</v>
      </c>
      <c r="B205" t="s">
        <v>17</v>
      </c>
      <c r="C205" t="s">
        <v>510</v>
      </c>
      <c r="D205" t="s">
        <v>238</v>
      </c>
      <c r="E205">
        <v>19240201103</v>
      </c>
      <c r="F205" t="s">
        <v>36</v>
      </c>
      <c r="G205" t="s">
        <v>24</v>
      </c>
      <c r="H205" t="s">
        <v>42</v>
      </c>
      <c r="I205">
        <v>28</v>
      </c>
      <c r="J205">
        <v>36</v>
      </c>
      <c r="K205">
        <v>64</v>
      </c>
      <c r="L205">
        <v>46</v>
      </c>
      <c r="M205">
        <v>8</v>
      </c>
      <c r="N205">
        <v>5</v>
      </c>
      <c r="O205">
        <v>5</v>
      </c>
      <c r="P205">
        <v>7</v>
      </c>
      <c r="Q205">
        <v>6</v>
      </c>
      <c r="R205">
        <v>4</v>
      </c>
      <c r="S205">
        <v>10</v>
      </c>
      <c r="T205">
        <f t="shared" si="6"/>
        <v>0</v>
      </c>
    </row>
    <row r="206" spans="1:20" x14ac:dyDescent="0.2">
      <c r="A206">
        <v>205</v>
      </c>
      <c r="B206" t="s">
        <v>17</v>
      </c>
      <c r="C206" t="s">
        <v>510</v>
      </c>
      <c r="D206" t="s">
        <v>239</v>
      </c>
      <c r="E206">
        <v>19240205601</v>
      </c>
      <c r="F206" t="s">
        <v>35</v>
      </c>
      <c r="G206" t="s">
        <v>38</v>
      </c>
      <c r="H206" t="s">
        <v>43</v>
      </c>
      <c r="I206">
        <v>25</v>
      </c>
      <c r="J206">
        <v>36</v>
      </c>
      <c r="K206">
        <v>61</v>
      </c>
      <c r="L206">
        <v>35</v>
      </c>
      <c r="M206">
        <v>9</v>
      </c>
      <c r="N206">
        <v>7</v>
      </c>
      <c r="O206">
        <v>10</v>
      </c>
      <c r="P206">
        <v>5</v>
      </c>
      <c r="Q206">
        <v>7</v>
      </c>
      <c r="R206">
        <v>10</v>
      </c>
      <c r="S206">
        <v>17</v>
      </c>
      <c r="T206">
        <f t="shared" si="6"/>
        <v>0</v>
      </c>
    </row>
    <row r="207" spans="1:20" x14ac:dyDescent="0.2">
      <c r="A207">
        <v>206</v>
      </c>
      <c r="B207" t="s">
        <v>17</v>
      </c>
      <c r="C207" t="s">
        <v>510</v>
      </c>
      <c r="D207" t="s">
        <v>240</v>
      </c>
      <c r="E207">
        <v>19240202801</v>
      </c>
      <c r="F207" t="s">
        <v>36</v>
      </c>
      <c r="G207" t="s">
        <v>39</v>
      </c>
      <c r="H207" t="s">
        <v>42</v>
      </c>
      <c r="I207">
        <v>37</v>
      </c>
      <c r="J207">
        <v>34</v>
      </c>
      <c r="K207">
        <v>71</v>
      </c>
      <c r="L207">
        <v>49</v>
      </c>
      <c r="M207">
        <v>7</v>
      </c>
      <c r="N207">
        <v>8</v>
      </c>
      <c r="O207">
        <v>7</v>
      </c>
      <c r="P207">
        <v>8</v>
      </c>
      <c r="Q207">
        <v>3</v>
      </c>
      <c r="R207">
        <v>5</v>
      </c>
      <c r="S207">
        <v>8</v>
      </c>
      <c r="T207">
        <f t="shared" si="6"/>
        <v>0</v>
      </c>
    </row>
    <row r="208" spans="1:20" x14ac:dyDescent="0.2">
      <c r="A208">
        <v>207</v>
      </c>
      <c r="B208" t="s">
        <v>17</v>
      </c>
      <c r="C208" t="s">
        <v>510</v>
      </c>
      <c r="D208" t="s">
        <v>241</v>
      </c>
      <c r="E208">
        <v>19240208202</v>
      </c>
      <c r="F208" t="s">
        <v>37</v>
      </c>
      <c r="G208" t="s">
        <v>24</v>
      </c>
      <c r="H208" t="s">
        <v>42</v>
      </c>
      <c r="I208">
        <v>34</v>
      </c>
      <c r="J208">
        <v>22</v>
      </c>
      <c r="K208">
        <v>56</v>
      </c>
      <c r="L208">
        <v>38</v>
      </c>
      <c r="M208">
        <v>5</v>
      </c>
      <c r="N208">
        <v>7</v>
      </c>
      <c r="O208">
        <v>6</v>
      </c>
      <c r="P208">
        <v>5</v>
      </c>
      <c r="Q208">
        <v>5</v>
      </c>
      <c r="R208">
        <v>8</v>
      </c>
      <c r="S208">
        <v>13</v>
      </c>
      <c r="T208">
        <f t="shared" si="6"/>
        <v>0</v>
      </c>
    </row>
    <row r="209" spans="1:20" x14ac:dyDescent="0.2">
      <c r="A209">
        <v>208</v>
      </c>
      <c r="B209" t="s">
        <v>17</v>
      </c>
      <c r="C209" t="s">
        <v>510</v>
      </c>
      <c r="D209" t="s">
        <v>242</v>
      </c>
      <c r="E209">
        <v>19240206801</v>
      </c>
      <c r="F209" t="s">
        <v>35</v>
      </c>
      <c r="G209" t="s">
        <v>24</v>
      </c>
      <c r="H209" t="s">
        <v>44</v>
      </c>
      <c r="I209">
        <v>40</v>
      </c>
      <c r="J209">
        <v>33</v>
      </c>
      <c r="K209">
        <v>73</v>
      </c>
      <c r="L209">
        <v>52</v>
      </c>
      <c r="M209">
        <v>7</v>
      </c>
      <c r="N209">
        <v>5</v>
      </c>
      <c r="O209">
        <v>9</v>
      </c>
      <c r="P209">
        <v>7</v>
      </c>
      <c r="Q209">
        <v>9</v>
      </c>
      <c r="R209">
        <v>6</v>
      </c>
      <c r="S209">
        <v>15</v>
      </c>
      <c r="T209">
        <f t="shared" si="6"/>
        <v>0</v>
      </c>
    </row>
    <row r="210" spans="1:20" x14ac:dyDescent="0.2">
      <c r="A210">
        <v>209</v>
      </c>
      <c r="B210" t="s">
        <v>17</v>
      </c>
      <c r="C210" t="s">
        <v>510</v>
      </c>
      <c r="D210" t="s">
        <v>243</v>
      </c>
      <c r="E210">
        <v>19240206103</v>
      </c>
      <c r="F210" t="s">
        <v>37</v>
      </c>
      <c r="G210" t="s">
        <v>23</v>
      </c>
      <c r="H210" t="s">
        <v>43</v>
      </c>
      <c r="I210">
        <v>24</v>
      </c>
      <c r="J210">
        <v>34</v>
      </c>
      <c r="K210">
        <v>58</v>
      </c>
      <c r="L210">
        <v>34</v>
      </c>
      <c r="M210">
        <v>10</v>
      </c>
      <c r="N210">
        <v>6</v>
      </c>
      <c r="O210">
        <v>8</v>
      </c>
      <c r="P210">
        <v>9</v>
      </c>
      <c r="Q210">
        <v>1</v>
      </c>
      <c r="R210">
        <v>8</v>
      </c>
      <c r="S210">
        <v>9</v>
      </c>
      <c r="T210">
        <f t="shared" si="6"/>
        <v>0</v>
      </c>
    </row>
    <row r="211" spans="1:20" x14ac:dyDescent="0.2">
      <c r="A211">
        <v>210</v>
      </c>
      <c r="B211" t="s">
        <v>17</v>
      </c>
      <c r="C211" t="s">
        <v>510</v>
      </c>
      <c r="D211" t="s">
        <v>244</v>
      </c>
      <c r="E211">
        <v>19240203202</v>
      </c>
      <c r="F211" t="s">
        <v>36</v>
      </c>
      <c r="G211" t="s">
        <v>40</v>
      </c>
      <c r="H211" t="s">
        <v>42</v>
      </c>
      <c r="I211">
        <v>36</v>
      </c>
      <c r="J211">
        <v>28</v>
      </c>
      <c r="K211">
        <v>64</v>
      </c>
      <c r="L211">
        <v>39</v>
      </c>
      <c r="M211">
        <v>9</v>
      </c>
      <c r="N211">
        <v>9</v>
      </c>
      <c r="O211">
        <v>7</v>
      </c>
      <c r="P211">
        <v>5</v>
      </c>
      <c r="Q211">
        <v>7</v>
      </c>
      <c r="R211">
        <v>0</v>
      </c>
      <c r="S211">
        <v>7</v>
      </c>
      <c r="T211">
        <f t="shared" si="6"/>
        <v>0</v>
      </c>
    </row>
    <row r="212" spans="1:20" x14ac:dyDescent="0.2">
      <c r="A212">
        <v>211</v>
      </c>
      <c r="B212" t="s">
        <v>17</v>
      </c>
      <c r="C212" t="s">
        <v>510</v>
      </c>
      <c r="D212" t="s">
        <v>245</v>
      </c>
      <c r="E212">
        <v>19240207301</v>
      </c>
      <c r="F212" t="s">
        <v>35</v>
      </c>
      <c r="G212" t="s">
        <v>23</v>
      </c>
      <c r="H212" t="s">
        <v>41</v>
      </c>
      <c r="I212">
        <v>27</v>
      </c>
      <c r="J212">
        <v>28</v>
      </c>
      <c r="K212">
        <v>55</v>
      </c>
      <c r="L212">
        <v>35</v>
      </c>
      <c r="M212">
        <v>8</v>
      </c>
      <c r="N212">
        <v>6</v>
      </c>
      <c r="O212">
        <v>6</v>
      </c>
      <c r="P212">
        <v>6</v>
      </c>
      <c r="Q212">
        <v>5</v>
      </c>
      <c r="R212">
        <v>9</v>
      </c>
      <c r="S212">
        <v>14</v>
      </c>
      <c r="T212">
        <f t="shared" si="6"/>
        <v>0</v>
      </c>
    </row>
    <row r="213" spans="1:20" x14ac:dyDescent="0.2">
      <c r="A213">
        <v>212</v>
      </c>
      <c r="B213" t="s">
        <v>17</v>
      </c>
      <c r="C213" t="s">
        <v>510</v>
      </c>
      <c r="D213" t="s">
        <v>246</v>
      </c>
      <c r="E213">
        <v>19240203701</v>
      </c>
      <c r="F213" t="s">
        <v>36</v>
      </c>
      <c r="G213" t="s">
        <v>38</v>
      </c>
      <c r="H213" t="s">
        <v>42</v>
      </c>
      <c r="I213">
        <v>25</v>
      </c>
      <c r="J213">
        <v>35</v>
      </c>
      <c r="K213">
        <v>60</v>
      </c>
      <c r="L213">
        <v>33</v>
      </c>
      <c r="M213">
        <v>8</v>
      </c>
      <c r="N213">
        <v>10</v>
      </c>
      <c r="O213">
        <v>9</v>
      </c>
      <c r="P213">
        <v>10</v>
      </c>
      <c r="Q213">
        <v>3</v>
      </c>
      <c r="R213">
        <v>6</v>
      </c>
      <c r="S213">
        <v>9</v>
      </c>
      <c r="T213">
        <f t="shared" si="6"/>
        <v>1</v>
      </c>
    </row>
    <row r="214" spans="1:20" x14ac:dyDescent="0.2">
      <c r="A214">
        <v>213</v>
      </c>
      <c r="B214" t="s">
        <v>17</v>
      </c>
      <c r="C214" t="s">
        <v>510</v>
      </c>
      <c r="D214" t="s">
        <v>247</v>
      </c>
      <c r="E214">
        <v>19240205703</v>
      </c>
      <c r="F214" t="s">
        <v>36</v>
      </c>
      <c r="G214" t="s">
        <v>39</v>
      </c>
      <c r="H214" t="s">
        <v>41</v>
      </c>
      <c r="I214">
        <v>28</v>
      </c>
      <c r="J214">
        <v>22</v>
      </c>
      <c r="K214">
        <v>50</v>
      </c>
      <c r="L214">
        <v>26</v>
      </c>
      <c r="M214">
        <v>9</v>
      </c>
      <c r="N214">
        <v>9</v>
      </c>
      <c r="O214">
        <v>6</v>
      </c>
      <c r="P214">
        <v>9</v>
      </c>
      <c r="Q214">
        <v>8</v>
      </c>
      <c r="R214">
        <v>10</v>
      </c>
      <c r="S214">
        <v>18</v>
      </c>
      <c r="T214">
        <f t="shared" si="6"/>
        <v>1</v>
      </c>
    </row>
    <row r="215" spans="1:20" x14ac:dyDescent="0.2">
      <c r="A215">
        <v>214</v>
      </c>
      <c r="B215" t="s">
        <v>17</v>
      </c>
      <c r="C215" t="s">
        <v>510</v>
      </c>
      <c r="D215" t="s">
        <v>248</v>
      </c>
      <c r="E215">
        <v>19240202507</v>
      </c>
      <c r="F215" t="s">
        <v>36</v>
      </c>
      <c r="G215" t="s">
        <v>24</v>
      </c>
      <c r="H215" t="s">
        <v>42</v>
      </c>
      <c r="I215">
        <v>27</v>
      </c>
      <c r="J215">
        <v>28</v>
      </c>
      <c r="K215">
        <v>55</v>
      </c>
      <c r="L215">
        <v>33</v>
      </c>
      <c r="M215">
        <v>5</v>
      </c>
      <c r="N215">
        <v>10</v>
      </c>
      <c r="O215">
        <v>7</v>
      </c>
      <c r="P215">
        <v>10</v>
      </c>
      <c r="Q215">
        <v>2</v>
      </c>
      <c r="R215">
        <v>7</v>
      </c>
      <c r="S215">
        <v>9</v>
      </c>
      <c r="T215">
        <f t="shared" si="6"/>
        <v>0</v>
      </c>
    </row>
    <row r="216" spans="1:20" x14ac:dyDescent="0.2">
      <c r="A216">
        <v>215</v>
      </c>
      <c r="B216" t="s">
        <v>17</v>
      </c>
      <c r="C216" t="s">
        <v>510</v>
      </c>
      <c r="D216" t="s">
        <v>249</v>
      </c>
      <c r="E216">
        <v>19240206601</v>
      </c>
      <c r="F216" t="s">
        <v>35</v>
      </c>
      <c r="G216" t="s">
        <v>38</v>
      </c>
      <c r="H216" t="s">
        <v>43</v>
      </c>
      <c r="I216">
        <v>31</v>
      </c>
      <c r="J216">
        <v>28</v>
      </c>
      <c r="K216">
        <v>59</v>
      </c>
      <c r="L216">
        <v>41</v>
      </c>
      <c r="M216">
        <v>6</v>
      </c>
      <c r="N216">
        <v>7</v>
      </c>
      <c r="O216">
        <v>5</v>
      </c>
      <c r="P216">
        <v>9</v>
      </c>
      <c r="Q216">
        <v>6</v>
      </c>
      <c r="R216">
        <v>6</v>
      </c>
      <c r="S216">
        <v>12</v>
      </c>
      <c r="T216">
        <f t="shared" si="6"/>
        <v>0</v>
      </c>
    </row>
    <row r="217" spans="1:20" x14ac:dyDescent="0.2">
      <c r="A217">
        <v>216</v>
      </c>
      <c r="B217" t="s">
        <v>17</v>
      </c>
      <c r="C217" t="s">
        <v>510</v>
      </c>
      <c r="D217" t="s">
        <v>250</v>
      </c>
      <c r="E217">
        <v>19240207601</v>
      </c>
      <c r="F217" t="s">
        <v>36</v>
      </c>
      <c r="G217" t="s">
        <v>39</v>
      </c>
      <c r="H217" t="s">
        <v>42</v>
      </c>
      <c r="I217">
        <v>23</v>
      </c>
      <c r="J217">
        <v>37</v>
      </c>
      <c r="K217">
        <v>60</v>
      </c>
      <c r="L217">
        <v>41</v>
      </c>
      <c r="M217">
        <v>5</v>
      </c>
      <c r="N217">
        <v>6</v>
      </c>
      <c r="O217">
        <v>8</v>
      </c>
      <c r="P217">
        <v>9</v>
      </c>
      <c r="Q217">
        <v>0</v>
      </c>
      <c r="R217">
        <v>2</v>
      </c>
      <c r="S217">
        <v>2</v>
      </c>
      <c r="T217">
        <f t="shared" si="6"/>
        <v>0</v>
      </c>
    </row>
    <row r="218" spans="1:20" x14ac:dyDescent="0.2">
      <c r="A218">
        <v>217</v>
      </c>
      <c r="B218" t="s">
        <v>17</v>
      </c>
      <c r="C218" t="s">
        <v>510</v>
      </c>
      <c r="D218" t="s">
        <v>251</v>
      </c>
      <c r="E218">
        <v>19240204502</v>
      </c>
      <c r="F218" t="s">
        <v>37</v>
      </c>
      <c r="G218" t="s">
        <v>24</v>
      </c>
      <c r="H218" t="s">
        <v>42</v>
      </c>
      <c r="I218">
        <v>30</v>
      </c>
      <c r="J218">
        <v>35</v>
      </c>
      <c r="K218">
        <v>65</v>
      </c>
      <c r="L218">
        <v>42</v>
      </c>
      <c r="M218">
        <v>5</v>
      </c>
      <c r="N218">
        <v>8</v>
      </c>
      <c r="O218">
        <v>10</v>
      </c>
      <c r="P218">
        <v>6</v>
      </c>
      <c r="Q218">
        <v>5</v>
      </c>
      <c r="R218">
        <v>2</v>
      </c>
      <c r="S218">
        <v>7</v>
      </c>
      <c r="T218">
        <f t="shared" si="6"/>
        <v>0</v>
      </c>
    </row>
    <row r="219" spans="1:20" x14ac:dyDescent="0.2">
      <c r="A219">
        <v>218</v>
      </c>
      <c r="B219" t="s">
        <v>17</v>
      </c>
      <c r="C219" t="s">
        <v>510</v>
      </c>
      <c r="D219" t="s">
        <v>252</v>
      </c>
      <c r="E219">
        <v>19240203002</v>
      </c>
      <c r="F219" t="s">
        <v>35</v>
      </c>
      <c r="G219" t="s">
        <v>24</v>
      </c>
      <c r="H219" t="s">
        <v>44</v>
      </c>
      <c r="I219">
        <v>29</v>
      </c>
      <c r="J219">
        <v>24</v>
      </c>
      <c r="K219">
        <v>53</v>
      </c>
      <c r="L219">
        <v>33</v>
      </c>
      <c r="M219">
        <v>8</v>
      </c>
      <c r="N219">
        <v>6</v>
      </c>
      <c r="O219">
        <v>6</v>
      </c>
      <c r="P219">
        <v>7</v>
      </c>
      <c r="Q219">
        <v>0</v>
      </c>
      <c r="R219">
        <v>10</v>
      </c>
      <c r="S219">
        <v>10</v>
      </c>
      <c r="T219">
        <f t="shared" si="6"/>
        <v>0</v>
      </c>
    </row>
    <row r="220" spans="1:20" x14ac:dyDescent="0.2">
      <c r="A220">
        <v>219</v>
      </c>
      <c r="B220" t="s">
        <v>17</v>
      </c>
      <c r="C220" t="s">
        <v>510</v>
      </c>
      <c r="D220" t="s">
        <v>253</v>
      </c>
      <c r="E220">
        <v>19240202505</v>
      </c>
      <c r="F220" t="s">
        <v>37</v>
      </c>
      <c r="G220" t="s">
        <v>23</v>
      </c>
      <c r="H220" t="s">
        <v>43</v>
      </c>
      <c r="I220">
        <v>32</v>
      </c>
      <c r="J220">
        <v>38</v>
      </c>
      <c r="K220">
        <v>70</v>
      </c>
      <c r="L220">
        <v>41</v>
      </c>
      <c r="M220">
        <v>10</v>
      </c>
      <c r="N220">
        <v>9</v>
      </c>
      <c r="O220">
        <v>10</v>
      </c>
      <c r="P220">
        <v>6</v>
      </c>
      <c r="Q220">
        <v>1</v>
      </c>
      <c r="R220">
        <v>1</v>
      </c>
      <c r="S220">
        <v>2</v>
      </c>
      <c r="T220">
        <f t="shared" si="6"/>
        <v>0</v>
      </c>
    </row>
    <row r="221" spans="1:20" x14ac:dyDescent="0.2">
      <c r="A221">
        <v>220</v>
      </c>
      <c r="B221" t="s">
        <v>17</v>
      </c>
      <c r="C221" t="s">
        <v>510</v>
      </c>
      <c r="D221" t="s">
        <v>254</v>
      </c>
      <c r="E221">
        <v>19240207002</v>
      </c>
      <c r="F221" t="s">
        <v>36</v>
      </c>
      <c r="G221" t="s">
        <v>40</v>
      </c>
      <c r="H221" t="s">
        <v>42</v>
      </c>
      <c r="I221">
        <v>33</v>
      </c>
      <c r="J221">
        <v>29</v>
      </c>
      <c r="K221">
        <v>62</v>
      </c>
      <c r="L221">
        <v>40</v>
      </c>
      <c r="M221">
        <v>6</v>
      </c>
      <c r="N221">
        <v>7</v>
      </c>
      <c r="O221">
        <v>9</v>
      </c>
      <c r="P221">
        <v>10</v>
      </c>
      <c r="Q221">
        <v>0</v>
      </c>
      <c r="R221">
        <v>3</v>
      </c>
      <c r="S221">
        <v>3</v>
      </c>
      <c r="T221">
        <f t="shared" si="6"/>
        <v>0</v>
      </c>
    </row>
    <row r="222" spans="1:20" x14ac:dyDescent="0.2">
      <c r="A222">
        <v>221</v>
      </c>
      <c r="B222" t="s">
        <v>17</v>
      </c>
      <c r="C222" t="s">
        <v>510</v>
      </c>
      <c r="D222" t="s">
        <v>255</v>
      </c>
      <c r="E222">
        <v>19240203401</v>
      </c>
      <c r="F222" t="s">
        <v>35</v>
      </c>
      <c r="G222" t="s">
        <v>23</v>
      </c>
      <c r="H222" t="s">
        <v>41</v>
      </c>
      <c r="I222">
        <v>22</v>
      </c>
      <c r="J222">
        <v>40</v>
      </c>
      <c r="K222">
        <v>62</v>
      </c>
      <c r="L222">
        <v>40</v>
      </c>
      <c r="M222">
        <v>9</v>
      </c>
      <c r="N222">
        <v>6</v>
      </c>
      <c r="O222">
        <v>7</v>
      </c>
      <c r="P222">
        <v>6</v>
      </c>
      <c r="Q222">
        <v>0</v>
      </c>
      <c r="R222">
        <v>3</v>
      </c>
      <c r="S222">
        <v>3</v>
      </c>
      <c r="T222">
        <f t="shared" si="6"/>
        <v>0</v>
      </c>
    </row>
    <row r="223" spans="1:20" x14ac:dyDescent="0.2">
      <c r="A223">
        <v>222</v>
      </c>
      <c r="B223" t="s">
        <v>17</v>
      </c>
      <c r="C223" t="s">
        <v>510</v>
      </c>
      <c r="D223" t="s">
        <v>256</v>
      </c>
      <c r="E223">
        <v>19240207802</v>
      </c>
      <c r="F223" t="s">
        <v>36</v>
      </c>
      <c r="G223" t="s">
        <v>38</v>
      </c>
      <c r="H223" t="s">
        <v>42</v>
      </c>
      <c r="I223">
        <v>32</v>
      </c>
      <c r="J223">
        <v>39</v>
      </c>
      <c r="K223">
        <v>71</v>
      </c>
      <c r="L223">
        <v>52</v>
      </c>
      <c r="M223">
        <v>5</v>
      </c>
      <c r="N223">
        <v>9</v>
      </c>
      <c r="O223">
        <v>5</v>
      </c>
      <c r="P223">
        <v>7</v>
      </c>
      <c r="Q223">
        <v>0</v>
      </c>
      <c r="R223">
        <v>1</v>
      </c>
      <c r="S223">
        <v>1</v>
      </c>
      <c r="T223">
        <f t="shared" si="6"/>
        <v>0</v>
      </c>
    </row>
    <row r="224" spans="1:20" x14ac:dyDescent="0.2">
      <c r="A224">
        <v>223</v>
      </c>
      <c r="B224" t="s">
        <v>17</v>
      </c>
      <c r="C224" t="s">
        <v>510</v>
      </c>
      <c r="D224" t="s">
        <v>257</v>
      </c>
      <c r="E224">
        <v>19240207702</v>
      </c>
      <c r="F224" t="s">
        <v>36</v>
      </c>
      <c r="G224" t="s">
        <v>39</v>
      </c>
      <c r="H224" t="s">
        <v>41</v>
      </c>
      <c r="I224">
        <v>36</v>
      </c>
      <c r="J224">
        <v>27</v>
      </c>
      <c r="K224">
        <v>63</v>
      </c>
      <c r="L224">
        <v>38</v>
      </c>
      <c r="M224">
        <v>6</v>
      </c>
      <c r="N224">
        <v>9</v>
      </c>
      <c r="O224">
        <v>10</v>
      </c>
      <c r="P224">
        <v>5</v>
      </c>
      <c r="Q224">
        <v>9</v>
      </c>
      <c r="R224">
        <v>6</v>
      </c>
      <c r="S224">
        <v>15</v>
      </c>
      <c r="T224">
        <f t="shared" si="6"/>
        <v>0</v>
      </c>
    </row>
    <row r="225" spans="1:20" x14ac:dyDescent="0.2">
      <c r="A225">
        <v>224</v>
      </c>
      <c r="B225" t="s">
        <v>17</v>
      </c>
      <c r="C225" t="s">
        <v>510</v>
      </c>
      <c r="D225" t="s">
        <v>258</v>
      </c>
      <c r="E225">
        <v>19240201504</v>
      </c>
      <c r="F225" t="s">
        <v>36</v>
      </c>
      <c r="G225" t="s">
        <v>24</v>
      </c>
      <c r="H225" t="s">
        <v>42</v>
      </c>
      <c r="I225">
        <v>32</v>
      </c>
      <c r="J225">
        <v>27</v>
      </c>
      <c r="K225">
        <v>59</v>
      </c>
      <c r="L225">
        <v>32</v>
      </c>
      <c r="M225">
        <v>8</v>
      </c>
      <c r="N225">
        <v>10</v>
      </c>
      <c r="O225">
        <v>9</v>
      </c>
      <c r="P225">
        <v>9</v>
      </c>
      <c r="Q225">
        <v>4</v>
      </c>
      <c r="R225">
        <v>0</v>
      </c>
      <c r="S225">
        <v>4</v>
      </c>
      <c r="T225">
        <f t="shared" si="6"/>
        <v>1</v>
      </c>
    </row>
    <row r="226" spans="1:20" x14ac:dyDescent="0.2">
      <c r="A226">
        <v>225</v>
      </c>
      <c r="B226" t="s">
        <v>17</v>
      </c>
      <c r="C226" t="s">
        <v>510</v>
      </c>
      <c r="D226" t="s">
        <v>259</v>
      </c>
      <c r="E226">
        <v>19240200710</v>
      </c>
      <c r="F226" t="s">
        <v>35</v>
      </c>
      <c r="G226" t="s">
        <v>38</v>
      </c>
      <c r="H226" t="s">
        <v>43</v>
      </c>
      <c r="I226">
        <v>35</v>
      </c>
      <c r="J226">
        <v>31</v>
      </c>
      <c r="K226">
        <v>66</v>
      </c>
      <c r="L226">
        <v>41</v>
      </c>
      <c r="M226">
        <v>9</v>
      </c>
      <c r="N226">
        <v>6</v>
      </c>
      <c r="O226">
        <v>10</v>
      </c>
      <c r="P226">
        <v>8</v>
      </c>
      <c r="Q226">
        <v>10</v>
      </c>
      <c r="R226">
        <v>0</v>
      </c>
      <c r="S226">
        <v>10</v>
      </c>
      <c r="T226">
        <f t="shared" si="6"/>
        <v>0</v>
      </c>
    </row>
    <row r="227" spans="1:20" x14ac:dyDescent="0.2">
      <c r="A227">
        <v>226</v>
      </c>
      <c r="B227" t="s">
        <v>17</v>
      </c>
      <c r="C227" t="s">
        <v>510</v>
      </c>
      <c r="D227" t="s">
        <v>260</v>
      </c>
      <c r="E227">
        <v>19240208101</v>
      </c>
      <c r="F227" t="s">
        <v>36</v>
      </c>
      <c r="G227" t="s">
        <v>39</v>
      </c>
      <c r="H227" t="s">
        <v>42</v>
      </c>
      <c r="I227">
        <v>32</v>
      </c>
      <c r="J227">
        <v>32</v>
      </c>
      <c r="K227">
        <v>64</v>
      </c>
      <c r="L227">
        <v>36</v>
      </c>
      <c r="M227">
        <v>10</v>
      </c>
      <c r="N227">
        <v>8</v>
      </c>
      <c r="O227">
        <v>10</v>
      </c>
      <c r="P227">
        <v>9</v>
      </c>
      <c r="Q227">
        <v>5</v>
      </c>
      <c r="R227">
        <v>9</v>
      </c>
      <c r="S227">
        <v>14</v>
      </c>
      <c r="T227">
        <f t="shared" si="6"/>
        <v>1</v>
      </c>
    </row>
    <row r="228" spans="1:20" x14ac:dyDescent="0.2">
      <c r="A228">
        <v>227</v>
      </c>
      <c r="B228" t="s">
        <v>17</v>
      </c>
      <c r="C228" t="s">
        <v>510</v>
      </c>
      <c r="D228" t="s">
        <v>261</v>
      </c>
      <c r="E228">
        <v>19240200501</v>
      </c>
      <c r="F228" t="s">
        <v>37</v>
      </c>
      <c r="G228" t="s">
        <v>24</v>
      </c>
      <c r="H228" t="s">
        <v>42</v>
      </c>
      <c r="I228">
        <v>36</v>
      </c>
      <c r="J228">
        <v>29</v>
      </c>
      <c r="K228">
        <v>65</v>
      </c>
      <c r="L228">
        <v>42</v>
      </c>
      <c r="M228">
        <v>8</v>
      </c>
      <c r="N228">
        <v>10</v>
      </c>
      <c r="O228">
        <v>5</v>
      </c>
      <c r="P228">
        <v>7</v>
      </c>
      <c r="Q228">
        <v>5</v>
      </c>
      <c r="R228">
        <v>5</v>
      </c>
      <c r="S228">
        <v>10</v>
      </c>
      <c r="T228">
        <f t="shared" si="6"/>
        <v>0</v>
      </c>
    </row>
    <row r="229" spans="1:20" x14ac:dyDescent="0.2">
      <c r="A229">
        <v>228</v>
      </c>
      <c r="B229" t="s">
        <v>17</v>
      </c>
      <c r="C229" t="s">
        <v>510</v>
      </c>
      <c r="D229" t="s">
        <v>262</v>
      </c>
      <c r="E229">
        <v>19240204903</v>
      </c>
      <c r="F229" t="s">
        <v>35</v>
      </c>
      <c r="G229" t="s">
        <v>24</v>
      </c>
      <c r="H229" t="s">
        <v>44</v>
      </c>
      <c r="I229">
        <v>37</v>
      </c>
      <c r="J229">
        <v>38</v>
      </c>
      <c r="K229">
        <v>75</v>
      </c>
      <c r="L229">
        <v>53</v>
      </c>
      <c r="M229">
        <v>7</v>
      </c>
      <c r="N229">
        <v>9</v>
      </c>
      <c r="O229">
        <v>6</v>
      </c>
      <c r="P229">
        <v>7</v>
      </c>
      <c r="Q229">
        <v>6</v>
      </c>
      <c r="R229">
        <v>0</v>
      </c>
      <c r="S229">
        <v>6</v>
      </c>
      <c r="T229">
        <f t="shared" si="6"/>
        <v>0</v>
      </c>
    </row>
    <row r="230" spans="1:20" x14ac:dyDescent="0.2">
      <c r="A230">
        <v>229</v>
      </c>
      <c r="B230" t="s">
        <v>17</v>
      </c>
      <c r="C230" t="s">
        <v>510</v>
      </c>
      <c r="D230" t="s">
        <v>263</v>
      </c>
      <c r="E230">
        <v>19240204601</v>
      </c>
      <c r="F230" t="s">
        <v>37</v>
      </c>
      <c r="G230" t="s">
        <v>23</v>
      </c>
      <c r="H230" t="s">
        <v>43</v>
      </c>
      <c r="I230">
        <v>23</v>
      </c>
      <c r="J230">
        <v>23</v>
      </c>
      <c r="K230">
        <v>46</v>
      </c>
      <c r="L230">
        <v>22</v>
      </c>
      <c r="M230">
        <v>8</v>
      </c>
      <c r="N230">
        <v>10</v>
      </c>
      <c r="O230">
        <v>6</v>
      </c>
      <c r="P230">
        <v>5</v>
      </c>
      <c r="Q230">
        <v>6</v>
      </c>
      <c r="R230">
        <v>8</v>
      </c>
      <c r="S230">
        <v>14</v>
      </c>
      <c r="T230">
        <f t="shared" si="6"/>
        <v>1</v>
      </c>
    </row>
    <row r="231" spans="1:20" x14ac:dyDescent="0.2">
      <c r="A231">
        <v>230</v>
      </c>
      <c r="B231" t="s">
        <v>17</v>
      </c>
      <c r="C231" t="s">
        <v>510</v>
      </c>
      <c r="D231" t="s">
        <v>264</v>
      </c>
      <c r="E231">
        <v>19240200708</v>
      </c>
      <c r="F231" t="s">
        <v>36</v>
      </c>
      <c r="G231" t="s">
        <v>40</v>
      </c>
      <c r="H231" t="s">
        <v>42</v>
      </c>
      <c r="I231">
        <v>35</v>
      </c>
      <c r="J231">
        <v>39</v>
      </c>
      <c r="K231">
        <v>74</v>
      </c>
      <c r="L231">
        <v>52</v>
      </c>
      <c r="M231">
        <v>10</v>
      </c>
      <c r="N231">
        <v>5</v>
      </c>
      <c r="O231">
        <v>7</v>
      </c>
      <c r="P231">
        <v>6</v>
      </c>
      <c r="Q231">
        <v>7</v>
      </c>
      <c r="R231">
        <v>5</v>
      </c>
      <c r="S231">
        <v>12</v>
      </c>
      <c r="T231">
        <f t="shared" si="6"/>
        <v>0</v>
      </c>
    </row>
    <row r="232" spans="1:20" x14ac:dyDescent="0.2">
      <c r="A232">
        <v>231</v>
      </c>
      <c r="B232" t="s">
        <v>17</v>
      </c>
      <c r="C232" t="s">
        <v>510</v>
      </c>
      <c r="D232" t="s">
        <v>265</v>
      </c>
      <c r="E232">
        <v>19240206201</v>
      </c>
      <c r="F232" t="s">
        <v>35</v>
      </c>
      <c r="G232" t="s">
        <v>23</v>
      </c>
      <c r="H232" t="s">
        <v>41</v>
      </c>
      <c r="I232">
        <v>40</v>
      </c>
      <c r="J232">
        <v>25</v>
      </c>
      <c r="K232">
        <v>65</v>
      </c>
      <c r="L232">
        <v>41</v>
      </c>
      <c r="M232">
        <v>10</v>
      </c>
      <c r="N232">
        <v>5</v>
      </c>
      <c r="O232">
        <v>9</v>
      </c>
      <c r="P232">
        <v>5</v>
      </c>
      <c r="Q232">
        <v>10</v>
      </c>
      <c r="R232">
        <v>5</v>
      </c>
      <c r="S232">
        <v>15</v>
      </c>
      <c r="T232">
        <f t="shared" si="6"/>
        <v>0</v>
      </c>
    </row>
    <row r="233" spans="1:20" x14ac:dyDescent="0.2">
      <c r="A233">
        <v>232</v>
      </c>
      <c r="B233" t="s">
        <v>17</v>
      </c>
      <c r="C233" t="s">
        <v>510</v>
      </c>
      <c r="D233" t="s">
        <v>266</v>
      </c>
      <c r="E233">
        <v>19240201101</v>
      </c>
      <c r="F233" t="s">
        <v>36</v>
      </c>
      <c r="G233" t="s">
        <v>38</v>
      </c>
      <c r="H233" t="s">
        <v>42</v>
      </c>
      <c r="I233">
        <v>22</v>
      </c>
      <c r="J233">
        <v>28</v>
      </c>
      <c r="K233">
        <v>50</v>
      </c>
      <c r="L233">
        <v>23</v>
      </c>
      <c r="M233">
        <v>10</v>
      </c>
      <c r="N233">
        <v>10</v>
      </c>
      <c r="O233">
        <v>7</v>
      </c>
      <c r="P233">
        <v>5</v>
      </c>
      <c r="Q233">
        <v>8</v>
      </c>
      <c r="R233">
        <v>1</v>
      </c>
      <c r="S233">
        <v>9</v>
      </c>
      <c r="T233">
        <f t="shared" si="6"/>
        <v>1</v>
      </c>
    </row>
    <row r="234" spans="1:20" x14ac:dyDescent="0.2">
      <c r="A234">
        <v>233</v>
      </c>
      <c r="B234" t="s">
        <v>17</v>
      </c>
      <c r="C234" t="s">
        <v>510</v>
      </c>
      <c r="D234" t="s">
        <v>267</v>
      </c>
      <c r="E234">
        <v>19240206102</v>
      </c>
      <c r="F234" t="s">
        <v>36</v>
      </c>
      <c r="G234" t="s">
        <v>39</v>
      </c>
      <c r="H234" t="s">
        <v>41</v>
      </c>
      <c r="I234">
        <v>30</v>
      </c>
      <c r="J234">
        <v>37</v>
      </c>
      <c r="K234">
        <v>67</v>
      </c>
      <c r="L234">
        <v>45</v>
      </c>
      <c r="M234">
        <v>8</v>
      </c>
      <c r="N234">
        <v>9</v>
      </c>
      <c r="O234">
        <v>5</v>
      </c>
      <c r="P234">
        <v>5</v>
      </c>
      <c r="Q234">
        <v>0</v>
      </c>
      <c r="R234">
        <v>8</v>
      </c>
      <c r="S234">
        <v>8</v>
      </c>
      <c r="T234">
        <f t="shared" si="6"/>
        <v>0</v>
      </c>
    </row>
    <row r="235" spans="1:20" x14ac:dyDescent="0.2">
      <c r="A235">
        <v>234</v>
      </c>
      <c r="B235" t="s">
        <v>17</v>
      </c>
      <c r="C235" t="s">
        <v>510</v>
      </c>
      <c r="D235" t="s">
        <v>268</v>
      </c>
      <c r="E235">
        <v>19240208401</v>
      </c>
      <c r="F235" t="s">
        <v>36</v>
      </c>
      <c r="G235" t="s">
        <v>24</v>
      </c>
      <c r="H235" t="s">
        <v>42</v>
      </c>
      <c r="I235">
        <v>24</v>
      </c>
      <c r="J235">
        <v>24</v>
      </c>
      <c r="K235">
        <v>48</v>
      </c>
      <c r="L235">
        <v>28</v>
      </c>
      <c r="M235">
        <v>7</v>
      </c>
      <c r="N235">
        <v>6</v>
      </c>
      <c r="O235">
        <v>7</v>
      </c>
      <c r="P235">
        <v>6</v>
      </c>
      <c r="Q235">
        <v>2</v>
      </c>
      <c r="R235">
        <v>6</v>
      </c>
      <c r="S235">
        <v>8</v>
      </c>
      <c r="T235">
        <f t="shared" si="6"/>
        <v>0</v>
      </c>
    </row>
    <row r="236" spans="1:20" x14ac:dyDescent="0.2">
      <c r="A236">
        <v>235</v>
      </c>
      <c r="B236" t="s">
        <v>17</v>
      </c>
      <c r="C236" t="s">
        <v>510</v>
      </c>
      <c r="D236" t="s">
        <v>269</v>
      </c>
      <c r="E236">
        <v>19240205001</v>
      </c>
      <c r="F236" t="s">
        <v>35</v>
      </c>
      <c r="G236" t="s">
        <v>38</v>
      </c>
      <c r="H236" t="s">
        <v>43</v>
      </c>
      <c r="I236">
        <v>40</v>
      </c>
      <c r="J236">
        <v>32</v>
      </c>
      <c r="K236">
        <v>72</v>
      </c>
      <c r="L236">
        <v>47</v>
      </c>
      <c r="M236">
        <v>9</v>
      </c>
      <c r="N236">
        <v>10</v>
      </c>
      <c r="O236">
        <v>6</v>
      </c>
      <c r="P236">
        <v>10</v>
      </c>
      <c r="Q236">
        <v>3</v>
      </c>
      <c r="R236">
        <v>4</v>
      </c>
      <c r="S236">
        <v>7</v>
      </c>
      <c r="T236">
        <f t="shared" si="6"/>
        <v>0</v>
      </c>
    </row>
    <row r="237" spans="1:20" x14ac:dyDescent="0.2">
      <c r="A237">
        <v>236</v>
      </c>
      <c r="B237" t="s">
        <v>17</v>
      </c>
      <c r="C237" t="s">
        <v>510</v>
      </c>
      <c r="D237" t="s">
        <v>270</v>
      </c>
      <c r="E237">
        <v>19240207401</v>
      </c>
      <c r="F237" t="s">
        <v>36</v>
      </c>
      <c r="G237" t="s">
        <v>39</v>
      </c>
      <c r="H237" t="s">
        <v>42</v>
      </c>
      <c r="I237">
        <v>24</v>
      </c>
      <c r="J237">
        <v>36</v>
      </c>
      <c r="K237">
        <v>60</v>
      </c>
      <c r="L237">
        <v>37</v>
      </c>
      <c r="M237">
        <v>7</v>
      </c>
      <c r="N237">
        <v>9</v>
      </c>
      <c r="O237">
        <v>7</v>
      </c>
      <c r="P237">
        <v>5</v>
      </c>
      <c r="Q237">
        <v>7</v>
      </c>
      <c r="R237">
        <v>10</v>
      </c>
      <c r="S237">
        <v>17</v>
      </c>
      <c r="T237">
        <f t="shared" si="6"/>
        <v>0</v>
      </c>
    </row>
    <row r="238" spans="1:20" x14ac:dyDescent="0.2">
      <c r="A238">
        <v>237</v>
      </c>
      <c r="B238" t="s">
        <v>17</v>
      </c>
      <c r="C238" t="s">
        <v>510</v>
      </c>
      <c r="D238" t="s">
        <v>271</v>
      </c>
      <c r="E238">
        <v>19240200902</v>
      </c>
      <c r="F238" t="s">
        <v>37</v>
      </c>
      <c r="G238" t="s">
        <v>24</v>
      </c>
      <c r="H238" t="s">
        <v>42</v>
      </c>
      <c r="I238">
        <v>28</v>
      </c>
      <c r="J238">
        <v>20</v>
      </c>
      <c r="K238">
        <v>48</v>
      </c>
      <c r="L238">
        <v>29</v>
      </c>
      <c r="M238">
        <v>5</v>
      </c>
      <c r="N238">
        <v>6</v>
      </c>
      <c r="O238">
        <v>8</v>
      </c>
      <c r="P238">
        <v>10</v>
      </c>
      <c r="Q238">
        <v>0</v>
      </c>
      <c r="R238">
        <v>2</v>
      </c>
      <c r="S238">
        <v>2</v>
      </c>
      <c r="T238">
        <f t="shared" si="6"/>
        <v>0</v>
      </c>
    </row>
    <row r="239" spans="1:20" x14ac:dyDescent="0.2">
      <c r="A239">
        <v>238</v>
      </c>
      <c r="B239" t="s">
        <v>17</v>
      </c>
      <c r="C239" t="s">
        <v>510</v>
      </c>
      <c r="D239" t="s">
        <v>272</v>
      </c>
      <c r="E239">
        <v>19240200801</v>
      </c>
      <c r="F239" t="s">
        <v>35</v>
      </c>
      <c r="G239" t="s">
        <v>24</v>
      </c>
      <c r="H239" t="s">
        <v>44</v>
      </c>
      <c r="I239">
        <v>28</v>
      </c>
      <c r="J239">
        <v>28</v>
      </c>
      <c r="K239">
        <v>56</v>
      </c>
      <c r="L239">
        <v>31</v>
      </c>
      <c r="M239">
        <v>8</v>
      </c>
      <c r="N239">
        <v>10</v>
      </c>
      <c r="O239">
        <v>7</v>
      </c>
      <c r="P239">
        <v>10</v>
      </c>
      <c r="Q239">
        <v>5</v>
      </c>
      <c r="R239">
        <v>8</v>
      </c>
      <c r="S239">
        <v>13</v>
      </c>
      <c r="T239">
        <f t="shared" si="6"/>
        <v>1</v>
      </c>
    </row>
    <row r="240" spans="1:20" x14ac:dyDescent="0.2">
      <c r="A240">
        <v>239</v>
      </c>
      <c r="B240" t="s">
        <v>17</v>
      </c>
      <c r="C240" t="s">
        <v>510</v>
      </c>
      <c r="D240" t="s">
        <v>273</v>
      </c>
      <c r="E240">
        <v>19240205301</v>
      </c>
      <c r="F240" t="s">
        <v>37</v>
      </c>
      <c r="G240" t="s">
        <v>23</v>
      </c>
      <c r="H240" t="s">
        <v>43</v>
      </c>
      <c r="I240">
        <v>33</v>
      </c>
      <c r="J240">
        <v>39</v>
      </c>
      <c r="K240">
        <v>72</v>
      </c>
      <c r="L240">
        <v>49</v>
      </c>
      <c r="M240">
        <v>8</v>
      </c>
      <c r="N240">
        <v>9</v>
      </c>
      <c r="O240">
        <v>6</v>
      </c>
      <c r="P240">
        <v>7</v>
      </c>
      <c r="Q240">
        <v>5</v>
      </c>
      <c r="R240">
        <v>4</v>
      </c>
      <c r="S240">
        <v>9</v>
      </c>
      <c r="T240">
        <f t="shared" si="6"/>
        <v>0</v>
      </c>
    </row>
    <row r="241" spans="1:20" x14ac:dyDescent="0.2">
      <c r="A241">
        <v>240</v>
      </c>
      <c r="B241" t="s">
        <v>17</v>
      </c>
      <c r="C241" t="s">
        <v>510</v>
      </c>
      <c r="D241" t="s">
        <v>274</v>
      </c>
      <c r="E241">
        <v>19240204501</v>
      </c>
      <c r="F241" t="s">
        <v>36</v>
      </c>
      <c r="G241" t="s">
        <v>40</v>
      </c>
      <c r="H241" t="s">
        <v>42</v>
      </c>
      <c r="I241">
        <v>24</v>
      </c>
      <c r="J241">
        <v>37</v>
      </c>
      <c r="K241">
        <v>61</v>
      </c>
      <c r="L241">
        <v>40</v>
      </c>
      <c r="M241">
        <v>9</v>
      </c>
      <c r="N241">
        <v>5</v>
      </c>
      <c r="O241">
        <v>7</v>
      </c>
      <c r="P241">
        <v>6</v>
      </c>
      <c r="Q241">
        <v>0</v>
      </c>
      <c r="R241">
        <v>5</v>
      </c>
      <c r="S241">
        <v>5</v>
      </c>
      <c r="T241">
        <f t="shared" ref="T241:T271" si="7">IF(SUM(M241:P241) &gt; L241, 1, 0)</f>
        <v>0</v>
      </c>
    </row>
    <row r="242" spans="1:20" x14ac:dyDescent="0.2">
      <c r="A242">
        <v>241</v>
      </c>
      <c r="B242" t="s">
        <v>17</v>
      </c>
      <c r="C242" t="s">
        <v>510</v>
      </c>
      <c r="D242" t="s">
        <v>275</v>
      </c>
      <c r="E242">
        <v>19240206101</v>
      </c>
      <c r="F242" t="s">
        <v>35</v>
      </c>
      <c r="G242" t="s">
        <v>23</v>
      </c>
      <c r="H242" t="s">
        <v>41</v>
      </c>
      <c r="I242">
        <v>25</v>
      </c>
      <c r="J242">
        <v>34</v>
      </c>
      <c r="K242">
        <v>59</v>
      </c>
      <c r="L242">
        <v>33</v>
      </c>
      <c r="M242">
        <v>8</v>
      </c>
      <c r="N242">
        <v>8</v>
      </c>
      <c r="O242">
        <v>10</v>
      </c>
      <c r="P242">
        <v>9</v>
      </c>
      <c r="Q242">
        <v>3</v>
      </c>
      <c r="R242">
        <v>5</v>
      </c>
      <c r="S242">
        <v>8</v>
      </c>
      <c r="T242">
        <f t="shared" si="7"/>
        <v>1</v>
      </c>
    </row>
    <row r="243" spans="1:20" x14ac:dyDescent="0.2">
      <c r="A243">
        <v>242</v>
      </c>
      <c r="B243" t="s">
        <v>17</v>
      </c>
      <c r="C243" t="s">
        <v>510</v>
      </c>
      <c r="D243" t="s">
        <v>276</v>
      </c>
      <c r="E243">
        <v>19240208001</v>
      </c>
      <c r="F243" t="s">
        <v>36</v>
      </c>
      <c r="G243" t="s">
        <v>38</v>
      </c>
      <c r="H243" t="s">
        <v>42</v>
      </c>
      <c r="I243">
        <v>20</v>
      </c>
      <c r="J243">
        <v>21</v>
      </c>
      <c r="K243">
        <v>41</v>
      </c>
      <c r="L243">
        <v>18</v>
      </c>
      <c r="M243">
        <v>9</v>
      </c>
      <c r="N243">
        <v>8</v>
      </c>
      <c r="O243">
        <v>6</v>
      </c>
      <c r="P243">
        <v>6</v>
      </c>
      <c r="Q243">
        <v>9</v>
      </c>
      <c r="R243">
        <v>4</v>
      </c>
      <c r="S243">
        <v>13</v>
      </c>
      <c r="T243">
        <f t="shared" si="7"/>
        <v>1</v>
      </c>
    </row>
    <row r="244" spans="1:20" x14ac:dyDescent="0.2">
      <c r="A244">
        <v>243</v>
      </c>
      <c r="B244" t="s">
        <v>17</v>
      </c>
      <c r="C244" t="s">
        <v>510</v>
      </c>
      <c r="D244" t="s">
        <v>277</v>
      </c>
      <c r="E244">
        <v>19240202202</v>
      </c>
      <c r="F244" t="s">
        <v>36</v>
      </c>
      <c r="G244" t="s">
        <v>39</v>
      </c>
      <c r="H244" t="s">
        <v>41</v>
      </c>
      <c r="I244">
        <v>28</v>
      </c>
      <c r="J244">
        <v>39</v>
      </c>
      <c r="K244">
        <v>67</v>
      </c>
      <c r="L244">
        <v>48</v>
      </c>
      <c r="M244">
        <v>7</v>
      </c>
      <c r="N244">
        <v>6</v>
      </c>
      <c r="O244">
        <v>6</v>
      </c>
      <c r="P244">
        <v>7</v>
      </c>
      <c r="Q244">
        <v>7</v>
      </c>
      <c r="R244">
        <v>7</v>
      </c>
      <c r="S244">
        <v>14</v>
      </c>
      <c r="T244">
        <f t="shared" si="7"/>
        <v>0</v>
      </c>
    </row>
    <row r="245" spans="1:20" x14ac:dyDescent="0.2">
      <c r="A245">
        <v>244</v>
      </c>
      <c r="B245" t="s">
        <v>17</v>
      </c>
      <c r="C245" t="s">
        <v>510</v>
      </c>
      <c r="D245" t="s">
        <v>278</v>
      </c>
      <c r="E245">
        <v>19240202504</v>
      </c>
      <c r="F245" t="s">
        <v>36</v>
      </c>
      <c r="G245" t="s">
        <v>24</v>
      </c>
      <c r="H245" t="s">
        <v>42</v>
      </c>
      <c r="I245">
        <v>24</v>
      </c>
      <c r="J245">
        <v>26</v>
      </c>
      <c r="K245">
        <v>50</v>
      </c>
      <c r="L245">
        <v>29</v>
      </c>
      <c r="M245">
        <v>7</v>
      </c>
      <c r="N245">
        <v>6</v>
      </c>
      <c r="O245">
        <v>8</v>
      </c>
      <c r="P245">
        <v>6</v>
      </c>
      <c r="Q245">
        <v>8</v>
      </c>
      <c r="R245">
        <v>1</v>
      </c>
      <c r="S245">
        <v>9</v>
      </c>
      <c r="T245">
        <f t="shared" si="7"/>
        <v>0</v>
      </c>
    </row>
    <row r="246" spans="1:20" x14ac:dyDescent="0.2">
      <c r="A246">
        <v>245</v>
      </c>
      <c r="B246" t="s">
        <v>17</v>
      </c>
      <c r="C246" t="s">
        <v>510</v>
      </c>
      <c r="D246" t="s">
        <v>279</v>
      </c>
      <c r="E246">
        <v>19240202508</v>
      </c>
      <c r="F246" t="s">
        <v>35</v>
      </c>
      <c r="G246" t="s">
        <v>38</v>
      </c>
      <c r="H246" t="s">
        <v>43</v>
      </c>
      <c r="I246">
        <v>38</v>
      </c>
      <c r="J246">
        <v>37</v>
      </c>
      <c r="K246">
        <v>75</v>
      </c>
      <c r="L246">
        <v>53</v>
      </c>
      <c r="M246">
        <v>8</v>
      </c>
      <c r="N246">
        <v>5</v>
      </c>
      <c r="O246">
        <v>9</v>
      </c>
      <c r="P246">
        <v>10</v>
      </c>
      <c r="Q246">
        <v>10</v>
      </c>
      <c r="R246">
        <v>5</v>
      </c>
      <c r="S246">
        <v>15</v>
      </c>
      <c r="T246">
        <f t="shared" si="7"/>
        <v>0</v>
      </c>
    </row>
    <row r="247" spans="1:20" x14ac:dyDescent="0.2">
      <c r="A247">
        <v>246</v>
      </c>
      <c r="B247" t="s">
        <v>17</v>
      </c>
      <c r="C247" t="s">
        <v>510</v>
      </c>
      <c r="D247" t="s">
        <v>280</v>
      </c>
      <c r="E247">
        <v>19240202501</v>
      </c>
      <c r="F247" t="s">
        <v>36</v>
      </c>
      <c r="G247" t="s">
        <v>39</v>
      </c>
      <c r="H247" t="s">
        <v>42</v>
      </c>
      <c r="I247">
        <v>38</v>
      </c>
      <c r="J247">
        <v>37</v>
      </c>
      <c r="K247">
        <v>75</v>
      </c>
      <c r="L247">
        <v>53</v>
      </c>
      <c r="M247">
        <v>8</v>
      </c>
      <c r="N247">
        <v>5</v>
      </c>
      <c r="O247">
        <v>9</v>
      </c>
      <c r="P247">
        <v>10</v>
      </c>
      <c r="Q247">
        <v>10</v>
      </c>
      <c r="R247">
        <v>5</v>
      </c>
      <c r="S247">
        <v>15</v>
      </c>
      <c r="T247">
        <f t="shared" si="7"/>
        <v>0</v>
      </c>
    </row>
    <row r="248" spans="1:20" x14ac:dyDescent="0.2">
      <c r="A248">
        <v>247</v>
      </c>
      <c r="B248" t="s">
        <v>17</v>
      </c>
      <c r="C248" t="s">
        <v>510</v>
      </c>
      <c r="D248" t="s">
        <v>281</v>
      </c>
      <c r="E248">
        <v>19240200711</v>
      </c>
      <c r="F248" t="s">
        <v>37</v>
      </c>
      <c r="G248" t="s">
        <v>24</v>
      </c>
      <c r="H248" t="s">
        <v>42</v>
      </c>
      <c r="I248">
        <v>31</v>
      </c>
      <c r="J248">
        <v>24</v>
      </c>
      <c r="K248">
        <v>55</v>
      </c>
      <c r="L248">
        <v>26</v>
      </c>
      <c r="M248">
        <v>9</v>
      </c>
      <c r="N248">
        <v>10</v>
      </c>
      <c r="O248">
        <v>10</v>
      </c>
      <c r="P248">
        <v>10</v>
      </c>
      <c r="Q248">
        <v>2</v>
      </c>
      <c r="R248">
        <v>6</v>
      </c>
      <c r="S248">
        <v>8</v>
      </c>
      <c r="T248">
        <f t="shared" si="7"/>
        <v>1</v>
      </c>
    </row>
    <row r="249" spans="1:20" x14ac:dyDescent="0.2">
      <c r="A249">
        <v>248</v>
      </c>
      <c r="B249" t="s">
        <v>17</v>
      </c>
      <c r="C249" t="s">
        <v>510</v>
      </c>
      <c r="D249" t="s">
        <v>282</v>
      </c>
      <c r="E249">
        <v>19240205801</v>
      </c>
      <c r="F249" t="s">
        <v>35</v>
      </c>
      <c r="G249" t="s">
        <v>24</v>
      </c>
      <c r="H249" t="s">
        <v>44</v>
      </c>
      <c r="I249">
        <v>25</v>
      </c>
      <c r="J249">
        <v>26</v>
      </c>
      <c r="K249">
        <v>51</v>
      </c>
      <c r="L249">
        <v>30</v>
      </c>
      <c r="M249">
        <v>9</v>
      </c>
      <c r="N249">
        <v>5</v>
      </c>
      <c r="O249">
        <v>7</v>
      </c>
      <c r="P249">
        <v>7</v>
      </c>
      <c r="Q249">
        <v>3</v>
      </c>
      <c r="R249">
        <v>9</v>
      </c>
      <c r="S249">
        <v>12</v>
      </c>
      <c r="T249">
        <f t="shared" si="7"/>
        <v>0</v>
      </c>
    </row>
    <row r="250" spans="1:20" x14ac:dyDescent="0.2">
      <c r="A250">
        <v>249</v>
      </c>
      <c r="B250" t="s">
        <v>17</v>
      </c>
      <c r="C250" t="s">
        <v>510</v>
      </c>
      <c r="D250" t="s">
        <v>283</v>
      </c>
      <c r="E250">
        <v>19240202901</v>
      </c>
      <c r="F250" t="s">
        <v>37</v>
      </c>
      <c r="G250" t="s">
        <v>23</v>
      </c>
      <c r="H250" t="s">
        <v>43</v>
      </c>
      <c r="I250">
        <v>28</v>
      </c>
      <c r="J250">
        <v>36</v>
      </c>
      <c r="K250">
        <v>64</v>
      </c>
      <c r="L250">
        <v>46</v>
      </c>
      <c r="M250">
        <v>8</v>
      </c>
      <c r="N250">
        <v>5</v>
      </c>
      <c r="O250">
        <v>5</v>
      </c>
      <c r="P250">
        <v>7</v>
      </c>
      <c r="Q250">
        <v>6</v>
      </c>
      <c r="R250">
        <v>4</v>
      </c>
      <c r="S250">
        <v>10</v>
      </c>
      <c r="T250">
        <f t="shared" si="7"/>
        <v>0</v>
      </c>
    </row>
    <row r="251" spans="1:20" x14ac:dyDescent="0.2">
      <c r="A251">
        <v>250</v>
      </c>
      <c r="B251" t="s">
        <v>17</v>
      </c>
      <c r="C251" t="s">
        <v>510</v>
      </c>
      <c r="D251" t="s">
        <v>284</v>
      </c>
      <c r="E251">
        <v>19240200701</v>
      </c>
      <c r="F251" t="s">
        <v>36</v>
      </c>
      <c r="G251" t="s">
        <v>40</v>
      </c>
      <c r="H251" t="s">
        <v>42</v>
      </c>
      <c r="I251">
        <v>25</v>
      </c>
      <c r="J251">
        <v>36</v>
      </c>
      <c r="K251">
        <v>61</v>
      </c>
      <c r="L251">
        <v>35</v>
      </c>
      <c r="M251">
        <v>9</v>
      </c>
      <c r="N251">
        <v>7</v>
      </c>
      <c r="O251">
        <v>10</v>
      </c>
      <c r="P251">
        <v>5</v>
      </c>
      <c r="Q251">
        <v>7</v>
      </c>
      <c r="R251">
        <v>10</v>
      </c>
      <c r="S251">
        <v>17</v>
      </c>
      <c r="T251">
        <f t="shared" si="7"/>
        <v>0</v>
      </c>
    </row>
    <row r="252" spans="1:20" x14ac:dyDescent="0.2">
      <c r="A252">
        <v>251</v>
      </c>
      <c r="B252" t="s">
        <v>17</v>
      </c>
      <c r="C252" t="s">
        <v>510</v>
      </c>
      <c r="D252" t="s">
        <v>285</v>
      </c>
      <c r="E252">
        <v>19240200804</v>
      </c>
      <c r="F252" t="s">
        <v>35</v>
      </c>
      <c r="G252" t="s">
        <v>23</v>
      </c>
      <c r="H252" t="s">
        <v>41</v>
      </c>
      <c r="I252">
        <v>37</v>
      </c>
      <c r="J252">
        <v>34</v>
      </c>
      <c r="K252">
        <v>71</v>
      </c>
      <c r="L252">
        <v>49</v>
      </c>
      <c r="M252">
        <v>7</v>
      </c>
      <c r="N252">
        <v>8</v>
      </c>
      <c r="O252">
        <v>7</v>
      </c>
      <c r="P252">
        <v>8</v>
      </c>
      <c r="Q252">
        <v>3</v>
      </c>
      <c r="R252">
        <v>5</v>
      </c>
      <c r="S252">
        <v>8</v>
      </c>
      <c r="T252">
        <f t="shared" si="7"/>
        <v>0</v>
      </c>
    </row>
    <row r="253" spans="1:20" x14ac:dyDescent="0.2">
      <c r="A253">
        <v>252</v>
      </c>
      <c r="B253" t="s">
        <v>17</v>
      </c>
      <c r="C253" t="s">
        <v>510</v>
      </c>
      <c r="D253" t="s">
        <v>286</v>
      </c>
      <c r="E253">
        <v>19240207701</v>
      </c>
      <c r="F253" t="s">
        <v>36</v>
      </c>
      <c r="G253" t="s">
        <v>38</v>
      </c>
      <c r="H253" t="s">
        <v>42</v>
      </c>
      <c r="I253">
        <v>34</v>
      </c>
      <c r="J253">
        <v>22</v>
      </c>
      <c r="K253">
        <v>56</v>
      </c>
      <c r="L253">
        <v>38</v>
      </c>
      <c r="M253">
        <v>5</v>
      </c>
      <c r="N253">
        <v>7</v>
      </c>
      <c r="O253">
        <v>6</v>
      </c>
      <c r="P253">
        <v>5</v>
      </c>
      <c r="Q253">
        <v>5</v>
      </c>
      <c r="R253">
        <v>8</v>
      </c>
      <c r="S253">
        <v>13</v>
      </c>
      <c r="T253">
        <f t="shared" si="7"/>
        <v>0</v>
      </c>
    </row>
    <row r="254" spans="1:20" x14ac:dyDescent="0.2">
      <c r="A254">
        <v>253</v>
      </c>
      <c r="B254" t="s">
        <v>17</v>
      </c>
      <c r="C254" t="s">
        <v>510</v>
      </c>
      <c r="D254" t="s">
        <v>287</v>
      </c>
      <c r="E254">
        <v>19240202401</v>
      </c>
      <c r="F254" t="s">
        <v>36</v>
      </c>
      <c r="G254" t="s">
        <v>39</v>
      </c>
      <c r="H254" t="s">
        <v>41</v>
      </c>
      <c r="I254">
        <v>40</v>
      </c>
      <c r="J254">
        <v>33</v>
      </c>
      <c r="K254">
        <v>73</v>
      </c>
      <c r="L254">
        <v>52</v>
      </c>
      <c r="M254">
        <v>7</v>
      </c>
      <c r="N254">
        <v>5</v>
      </c>
      <c r="O254">
        <v>9</v>
      </c>
      <c r="P254">
        <v>7</v>
      </c>
      <c r="Q254">
        <v>9</v>
      </c>
      <c r="R254">
        <v>6</v>
      </c>
      <c r="S254">
        <v>15</v>
      </c>
      <c r="T254">
        <f t="shared" si="7"/>
        <v>0</v>
      </c>
    </row>
    <row r="255" spans="1:20" x14ac:dyDescent="0.2">
      <c r="A255">
        <v>254</v>
      </c>
      <c r="B255" t="s">
        <v>17</v>
      </c>
      <c r="C255" t="s">
        <v>510</v>
      </c>
      <c r="D255" t="s">
        <v>288</v>
      </c>
      <c r="E255">
        <v>19240204401</v>
      </c>
      <c r="F255" t="s">
        <v>36</v>
      </c>
      <c r="G255" t="s">
        <v>24</v>
      </c>
      <c r="H255" t="s">
        <v>42</v>
      </c>
      <c r="I255">
        <v>24</v>
      </c>
      <c r="J255">
        <v>34</v>
      </c>
      <c r="K255">
        <v>58</v>
      </c>
      <c r="L255">
        <v>34</v>
      </c>
      <c r="M255">
        <v>10</v>
      </c>
      <c r="N255">
        <v>6</v>
      </c>
      <c r="O255">
        <v>8</v>
      </c>
      <c r="P255">
        <v>9</v>
      </c>
      <c r="Q255">
        <v>1</v>
      </c>
      <c r="R255">
        <v>8</v>
      </c>
      <c r="S255">
        <v>9</v>
      </c>
      <c r="T255">
        <f t="shared" si="7"/>
        <v>0</v>
      </c>
    </row>
    <row r="256" spans="1:20" x14ac:dyDescent="0.2">
      <c r="A256">
        <v>255</v>
      </c>
      <c r="B256" t="s">
        <v>17</v>
      </c>
      <c r="C256" t="s">
        <v>510</v>
      </c>
      <c r="D256" t="s">
        <v>289</v>
      </c>
      <c r="E256">
        <v>19240204201</v>
      </c>
      <c r="F256" t="s">
        <v>35</v>
      </c>
      <c r="G256" t="s">
        <v>38</v>
      </c>
      <c r="H256" t="s">
        <v>43</v>
      </c>
      <c r="I256">
        <v>36</v>
      </c>
      <c r="J256">
        <v>28</v>
      </c>
      <c r="K256">
        <v>64</v>
      </c>
      <c r="L256">
        <v>39</v>
      </c>
      <c r="M256">
        <v>9</v>
      </c>
      <c r="N256">
        <v>9</v>
      </c>
      <c r="O256">
        <v>7</v>
      </c>
      <c r="P256">
        <v>5</v>
      </c>
      <c r="Q256">
        <v>7</v>
      </c>
      <c r="R256">
        <v>0</v>
      </c>
      <c r="S256">
        <v>7</v>
      </c>
      <c r="T256">
        <f t="shared" si="7"/>
        <v>0</v>
      </c>
    </row>
    <row r="257" spans="1:20" x14ac:dyDescent="0.2">
      <c r="A257">
        <v>256</v>
      </c>
      <c r="B257" t="s">
        <v>17</v>
      </c>
      <c r="C257" t="s">
        <v>510</v>
      </c>
      <c r="D257" t="s">
        <v>290</v>
      </c>
      <c r="E257">
        <v>19240201902</v>
      </c>
      <c r="F257" t="s">
        <v>36</v>
      </c>
      <c r="G257" t="s">
        <v>39</v>
      </c>
      <c r="H257" t="s">
        <v>42</v>
      </c>
      <c r="I257">
        <v>27</v>
      </c>
      <c r="J257">
        <v>28</v>
      </c>
      <c r="K257">
        <v>55</v>
      </c>
      <c r="L257">
        <v>35</v>
      </c>
      <c r="M257">
        <v>8</v>
      </c>
      <c r="N257">
        <v>6</v>
      </c>
      <c r="O257">
        <v>6</v>
      </c>
      <c r="P257">
        <v>6</v>
      </c>
      <c r="Q257">
        <v>5</v>
      </c>
      <c r="R257">
        <v>9</v>
      </c>
      <c r="S257">
        <v>14</v>
      </c>
      <c r="T257">
        <f t="shared" si="7"/>
        <v>0</v>
      </c>
    </row>
    <row r="258" spans="1:20" x14ac:dyDescent="0.2">
      <c r="A258">
        <v>257</v>
      </c>
      <c r="B258" t="s">
        <v>17</v>
      </c>
      <c r="C258" t="s">
        <v>510</v>
      </c>
      <c r="D258" t="s">
        <v>291</v>
      </c>
      <c r="E258">
        <v>19240202701</v>
      </c>
      <c r="F258" t="s">
        <v>37</v>
      </c>
      <c r="G258" t="s">
        <v>24</v>
      </c>
      <c r="H258" t="s">
        <v>42</v>
      </c>
      <c r="I258">
        <v>25</v>
      </c>
      <c r="J258">
        <v>35</v>
      </c>
      <c r="K258">
        <v>60</v>
      </c>
      <c r="L258">
        <v>33</v>
      </c>
      <c r="M258">
        <v>8</v>
      </c>
      <c r="N258">
        <v>10</v>
      </c>
      <c r="O258">
        <v>9</v>
      </c>
      <c r="P258">
        <v>10</v>
      </c>
      <c r="Q258">
        <v>3</v>
      </c>
      <c r="R258">
        <v>6</v>
      </c>
      <c r="S258">
        <v>9</v>
      </c>
      <c r="T258">
        <f t="shared" si="7"/>
        <v>1</v>
      </c>
    </row>
    <row r="259" spans="1:20" x14ac:dyDescent="0.2">
      <c r="A259">
        <v>258</v>
      </c>
      <c r="B259" t="s">
        <v>17</v>
      </c>
      <c r="C259" t="s">
        <v>512</v>
      </c>
      <c r="D259" t="s">
        <v>292</v>
      </c>
      <c r="E259">
        <v>19240301803</v>
      </c>
      <c r="F259" t="s">
        <v>35</v>
      </c>
      <c r="G259" t="s">
        <v>24</v>
      </c>
      <c r="H259" t="s">
        <v>44</v>
      </c>
      <c r="I259">
        <v>28</v>
      </c>
      <c r="J259">
        <v>22</v>
      </c>
      <c r="K259">
        <v>50</v>
      </c>
      <c r="L259">
        <v>26</v>
      </c>
      <c r="M259">
        <v>9</v>
      </c>
      <c r="N259">
        <v>9</v>
      </c>
      <c r="O259">
        <v>6</v>
      </c>
      <c r="P259">
        <v>9</v>
      </c>
      <c r="Q259">
        <v>8</v>
      </c>
      <c r="R259">
        <v>10</v>
      </c>
      <c r="S259">
        <v>18</v>
      </c>
      <c r="T259">
        <f t="shared" si="7"/>
        <v>1</v>
      </c>
    </row>
    <row r="260" spans="1:20" x14ac:dyDescent="0.2">
      <c r="A260">
        <v>259</v>
      </c>
      <c r="B260" t="s">
        <v>17</v>
      </c>
      <c r="C260" t="s">
        <v>510</v>
      </c>
      <c r="D260" t="s">
        <v>293</v>
      </c>
      <c r="E260">
        <v>19240200601</v>
      </c>
      <c r="F260" t="s">
        <v>37</v>
      </c>
      <c r="G260" t="s">
        <v>23</v>
      </c>
      <c r="H260" t="s">
        <v>43</v>
      </c>
      <c r="I260">
        <v>27</v>
      </c>
      <c r="J260">
        <v>28</v>
      </c>
      <c r="K260">
        <v>55</v>
      </c>
      <c r="L260">
        <v>33</v>
      </c>
      <c r="M260">
        <v>5</v>
      </c>
      <c r="N260">
        <v>10</v>
      </c>
      <c r="O260">
        <v>7</v>
      </c>
      <c r="P260">
        <v>10</v>
      </c>
      <c r="Q260">
        <v>2</v>
      </c>
      <c r="R260">
        <v>7</v>
      </c>
      <c r="S260">
        <v>9</v>
      </c>
      <c r="T260">
        <f t="shared" si="7"/>
        <v>0</v>
      </c>
    </row>
    <row r="261" spans="1:20" x14ac:dyDescent="0.2">
      <c r="A261">
        <v>260</v>
      </c>
      <c r="B261" t="s">
        <v>17</v>
      </c>
      <c r="C261" t="s">
        <v>512</v>
      </c>
      <c r="D261" t="s">
        <v>294</v>
      </c>
      <c r="E261">
        <v>19240301102</v>
      </c>
      <c r="F261" t="s">
        <v>36</v>
      </c>
      <c r="G261" t="s">
        <v>40</v>
      </c>
      <c r="H261" t="s">
        <v>42</v>
      </c>
      <c r="I261">
        <v>31</v>
      </c>
      <c r="J261">
        <v>28</v>
      </c>
      <c r="K261">
        <v>59</v>
      </c>
      <c r="L261">
        <v>41</v>
      </c>
      <c r="M261">
        <v>6</v>
      </c>
      <c r="N261">
        <v>7</v>
      </c>
      <c r="O261">
        <v>5</v>
      </c>
      <c r="P261">
        <v>9</v>
      </c>
      <c r="Q261">
        <v>6</v>
      </c>
      <c r="R261">
        <v>6</v>
      </c>
      <c r="S261">
        <v>12</v>
      </c>
      <c r="T261">
        <f t="shared" si="7"/>
        <v>0</v>
      </c>
    </row>
    <row r="262" spans="1:20" x14ac:dyDescent="0.2">
      <c r="A262">
        <v>261</v>
      </c>
      <c r="B262" t="s">
        <v>17</v>
      </c>
      <c r="C262" t="s">
        <v>510</v>
      </c>
      <c r="D262" t="s">
        <v>295</v>
      </c>
      <c r="E262">
        <v>19240201801</v>
      </c>
      <c r="F262" t="s">
        <v>35</v>
      </c>
      <c r="G262" t="s">
        <v>23</v>
      </c>
      <c r="H262" t="s">
        <v>41</v>
      </c>
      <c r="I262">
        <v>23</v>
      </c>
      <c r="J262">
        <v>37</v>
      </c>
      <c r="K262">
        <v>60</v>
      </c>
      <c r="L262">
        <v>41</v>
      </c>
      <c r="M262">
        <v>5</v>
      </c>
      <c r="N262">
        <v>6</v>
      </c>
      <c r="O262">
        <v>8</v>
      </c>
      <c r="P262">
        <v>9</v>
      </c>
      <c r="Q262">
        <v>0</v>
      </c>
      <c r="R262">
        <v>2</v>
      </c>
      <c r="S262">
        <v>2</v>
      </c>
      <c r="T262">
        <f t="shared" si="7"/>
        <v>0</v>
      </c>
    </row>
    <row r="263" spans="1:20" x14ac:dyDescent="0.2">
      <c r="A263">
        <v>262</v>
      </c>
      <c r="B263" t="s">
        <v>17</v>
      </c>
      <c r="C263" t="s">
        <v>510</v>
      </c>
      <c r="D263" t="s">
        <v>296</v>
      </c>
      <c r="E263">
        <v>19240206002</v>
      </c>
      <c r="F263" t="s">
        <v>36</v>
      </c>
      <c r="G263" t="s">
        <v>38</v>
      </c>
      <c r="H263" t="s">
        <v>42</v>
      </c>
      <c r="I263">
        <v>30</v>
      </c>
      <c r="J263">
        <v>35</v>
      </c>
      <c r="K263">
        <v>65</v>
      </c>
      <c r="L263">
        <v>42</v>
      </c>
      <c r="M263">
        <v>5</v>
      </c>
      <c r="N263">
        <v>8</v>
      </c>
      <c r="O263">
        <v>10</v>
      </c>
      <c r="P263">
        <v>6</v>
      </c>
      <c r="Q263">
        <v>5</v>
      </c>
      <c r="R263">
        <v>2</v>
      </c>
      <c r="S263">
        <v>7</v>
      </c>
      <c r="T263">
        <f t="shared" si="7"/>
        <v>0</v>
      </c>
    </row>
    <row r="264" spans="1:20" x14ac:dyDescent="0.2">
      <c r="A264">
        <v>263</v>
      </c>
      <c r="B264" t="s">
        <v>17</v>
      </c>
      <c r="C264" t="s">
        <v>510</v>
      </c>
      <c r="D264" t="s">
        <v>297</v>
      </c>
      <c r="E264">
        <v>19240204301</v>
      </c>
      <c r="F264" t="s">
        <v>36</v>
      </c>
      <c r="G264" t="s">
        <v>39</v>
      </c>
      <c r="H264" t="s">
        <v>41</v>
      </c>
      <c r="I264">
        <v>29</v>
      </c>
      <c r="J264">
        <v>24</v>
      </c>
      <c r="K264">
        <v>53</v>
      </c>
      <c r="L264">
        <v>33</v>
      </c>
      <c r="M264">
        <v>8</v>
      </c>
      <c r="N264">
        <v>6</v>
      </c>
      <c r="O264">
        <v>6</v>
      </c>
      <c r="P264">
        <v>7</v>
      </c>
      <c r="Q264">
        <v>0</v>
      </c>
      <c r="R264">
        <v>10</v>
      </c>
      <c r="S264">
        <v>10</v>
      </c>
      <c r="T264">
        <f t="shared" si="7"/>
        <v>0</v>
      </c>
    </row>
    <row r="265" spans="1:20" x14ac:dyDescent="0.2">
      <c r="A265">
        <v>264</v>
      </c>
      <c r="B265" t="s">
        <v>17</v>
      </c>
      <c r="C265" t="s">
        <v>510</v>
      </c>
      <c r="D265" t="s">
        <v>298</v>
      </c>
      <c r="E265">
        <v>19240205206</v>
      </c>
      <c r="F265" t="s">
        <v>36</v>
      </c>
      <c r="G265" t="s">
        <v>24</v>
      </c>
      <c r="H265" t="s">
        <v>42</v>
      </c>
      <c r="I265">
        <v>32</v>
      </c>
      <c r="J265">
        <v>38</v>
      </c>
      <c r="K265">
        <v>70</v>
      </c>
      <c r="L265">
        <v>41</v>
      </c>
      <c r="M265">
        <v>10</v>
      </c>
      <c r="N265">
        <v>9</v>
      </c>
      <c r="O265">
        <v>10</v>
      </c>
      <c r="P265">
        <v>6</v>
      </c>
      <c r="Q265">
        <v>1</v>
      </c>
      <c r="R265">
        <v>1</v>
      </c>
      <c r="S265">
        <v>2</v>
      </c>
      <c r="T265">
        <f t="shared" si="7"/>
        <v>0</v>
      </c>
    </row>
    <row r="266" spans="1:20" x14ac:dyDescent="0.2">
      <c r="A266">
        <v>265</v>
      </c>
      <c r="B266" t="s">
        <v>17</v>
      </c>
      <c r="C266" t="s">
        <v>510</v>
      </c>
      <c r="D266" t="s">
        <v>299</v>
      </c>
      <c r="E266">
        <v>19240201001</v>
      </c>
      <c r="F266" t="s">
        <v>35</v>
      </c>
      <c r="G266" t="s">
        <v>38</v>
      </c>
      <c r="H266" t="s">
        <v>43</v>
      </c>
      <c r="I266">
        <v>33</v>
      </c>
      <c r="J266">
        <v>29</v>
      </c>
      <c r="K266">
        <v>62</v>
      </c>
      <c r="L266">
        <v>40</v>
      </c>
      <c r="M266">
        <v>6</v>
      </c>
      <c r="N266">
        <v>7</v>
      </c>
      <c r="O266">
        <v>9</v>
      </c>
      <c r="P266">
        <v>10</v>
      </c>
      <c r="Q266">
        <v>0</v>
      </c>
      <c r="R266">
        <v>3</v>
      </c>
      <c r="S266">
        <v>3</v>
      </c>
      <c r="T266">
        <f t="shared" si="7"/>
        <v>0</v>
      </c>
    </row>
    <row r="267" spans="1:20" x14ac:dyDescent="0.2">
      <c r="A267">
        <v>266</v>
      </c>
      <c r="B267" t="s">
        <v>17</v>
      </c>
      <c r="C267" t="s">
        <v>510</v>
      </c>
      <c r="D267" t="s">
        <v>300</v>
      </c>
      <c r="E267">
        <v>19240202302</v>
      </c>
      <c r="F267" t="s">
        <v>36</v>
      </c>
      <c r="G267" t="s">
        <v>39</v>
      </c>
      <c r="H267" t="s">
        <v>42</v>
      </c>
      <c r="I267">
        <v>22</v>
      </c>
      <c r="J267">
        <v>40</v>
      </c>
      <c r="K267">
        <v>62</v>
      </c>
      <c r="L267">
        <v>40</v>
      </c>
      <c r="M267">
        <v>9</v>
      </c>
      <c r="N267">
        <v>6</v>
      </c>
      <c r="O267">
        <v>7</v>
      </c>
      <c r="P267">
        <v>6</v>
      </c>
      <c r="Q267">
        <v>0</v>
      </c>
      <c r="R267">
        <v>3</v>
      </c>
      <c r="S267">
        <v>3</v>
      </c>
      <c r="T267">
        <f t="shared" si="7"/>
        <v>0</v>
      </c>
    </row>
    <row r="268" spans="1:20" x14ac:dyDescent="0.2">
      <c r="A268">
        <v>267</v>
      </c>
      <c r="B268" t="s">
        <v>17</v>
      </c>
      <c r="C268" t="s">
        <v>510</v>
      </c>
      <c r="D268" t="s">
        <v>301</v>
      </c>
      <c r="E268">
        <v>19240205205</v>
      </c>
      <c r="F268" t="s">
        <v>37</v>
      </c>
      <c r="G268" t="s">
        <v>24</v>
      </c>
      <c r="H268" t="s">
        <v>42</v>
      </c>
      <c r="I268">
        <v>32</v>
      </c>
      <c r="J268">
        <v>39</v>
      </c>
      <c r="K268">
        <v>71</v>
      </c>
      <c r="L268">
        <v>52</v>
      </c>
      <c r="M268">
        <v>5</v>
      </c>
      <c r="N268">
        <v>9</v>
      </c>
      <c r="O268">
        <v>5</v>
      </c>
      <c r="P268">
        <v>7</v>
      </c>
      <c r="Q268">
        <v>0</v>
      </c>
      <c r="R268">
        <v>1</v>
      </c>
      <c r="S268">
        <v>1</v>
      </c>
      <c r="T268">
        <f t="shared" si="7"/>
        <v>0</v>
      </c>
    </row>
    <row r="269" spans="1:20" x14ac:dyDescent="0.2">
      <c r="A269">
        <v>268</v>
      </c>
      <c r="B269" t="s">
        <v>17</v>
      </c>
      <c r="C269" t="s">
        <v>510</v>
      </c>
      <c r="D269" t="s">
        <v>302</v>
      </c>
      <c r="E269">
        <v>19240202301</v>
      </c>
      <c r="F269" t="s">
        <v>35</v>
      </c>
      <c r="G269" t="s">
        <v>24</v>
      </c>
      <c r="H269" t="s">
        <v>44</v>
      </c>
      <c r="I269">
        <v>36</v>
      </c>
      <c r="J269">
        <v>27</v>
      </c>
      <c r="K269">
        <v>63</v>
      </c>
      <c r="L269">
        <v>38</v>
      </c>
      <c r="M269">
        <v>6</v>
      </c>
      <c r="N269">
        <v>9</v>
      </c>
      <c r="O269">
        <v>10</v>
      </c>
      <c r="P269">
        <v>5</v>
      </c>
      <c r="Q269">
        <v>9</v>
      </c>
      <c r="R269">
        <v>6</v>
      </c>
      <c r="S269">
        <v>15</v>
      </c>
      <c r="T269">
        <f t="shared" si="7"/>
        <v>0</v>
      </c>
    </row>
    <row r="270" spans="1:20" x14ac:dyDescent="0.2">
      <c r="A270">
        <v>269</v>
      </c>
      <c r="B270" t="s">
        <v>17</v>
      </c>
      <c r="C270" t="s">
        <v>510</v>
      </c>
      <c r="D270" t="s">
        <v>303</v>
      </c>
      <c r="E270">
        <v>19240205702</v>
      </c>
      <c r="F270" t="s">
        <v>37</v>
      </c>
      <c r="G270" t="s">
        <v>23</v>
      </c>
      <c r="H270" t="s">
        <v>43</v>
      </c>
      <c r="I270">
        <v>32</v>
      </c>
      <c r="J270">
        <v>27</v>
      </c>
      <c r="K270">
        <v>59</v>
      </c>
      <c r="L270">
        <v>32</v>
      </c>
      <c r="M270">
        <v>8</v>
      </c>
      <c r="N270">
        <v>10</v>
      </c>
      <c r="O270">
        <v>9</v>
      </c>
      <c r="P270">
        <v>9</v>
      </c>
      <c r="Q270">
        <v>4</v>
      </c>
      <c r="R270">
        <v>0</v>
      </c>
      <c r="S270">
        <v>4</v>
      </c>
      <c r="T270">
        <f t="shared" si="7"/>
        <v>1</v>
      </c>
    </row>
    <row r="271" spans="1:20" x14ac:dyDescent="0.2">
      <c r="A271">
        <v>270</v>
      </c>
      <c r="B271" t="s">
        <v>17</v>
      </c>
      <c r="C271" t="s">
        <v>512</v>
      </c>
      <c r="D271" t="s">
        <v>304</v>
      </c>
      <c r="E271">
        <v>19240300601</v>
      </c>
      <c r="F271" t="s">
        <v>36</v>
      </c>
      <c r="G271" t="s">
        <v>40</v>
      </c>
      <c r="H271" t="s">
        <v>42</v>
      </c>
      <c r="I271">
        <v>35</v>
      </c>
      <c r="J271">
        <v>31</v>
      </c>
      <c r="K271">
        <v>66</v>
      </c>
      <c r="L271">
        <v>41</v>
      </c>
      <c r="M271">
        <v>9</v>
      </c>
      <c r="N271">
        <v>6</v>
      </c>
      <c r="O271">
        <v>10</v>
      </c>
      <c r="P271">
        <v>8</v>
      </c>
      <c r="Q271">
        <v>10</v>
      </c>
      <c r="R271">
        <v>0</v>
      </c>
      <c r="S271">
        <v>10</v>
      </c>
      <c r="T271">
        <f t="shared" si="7"/>
        <v>0</v>
      </c>
    </row>
    <row r="272" spans="1:20" x14ac:dyDescent="0.2">
      <c r="A272">
        <v>271</v>
      </c>
      <c r="B272" t="s">
        <v>17</v>
      </c>
      <c r="C272" t="s">
        <v>510</v>
      </c>
      <c r="D272" t="s">
        <v>305</v>
      </c>
      <c r="E272">
        <v>19240207001</v>
      </c>
      <c r="F272" t="s">
        <v>35</v>
      </c>
      <c r="G272" t="s">
        <v>23</v>
      </c>
      <c r="H272" t="s">
        <v>41</v>
      </c>
      <c r="I272">
        <v>32</v>
      </c>
      <c r="J272">
        <v>32</v>
      </c>
      <c r="K272">
        <v>64</v>
      </c>
      <c r="L272">
        <v>36</v>
      </c>
      <c r="M272">
        <v>10</v>
      </c>
      <c r="N272">
        <v>8</v>
      </c>
      <c r="O272">
        <v>10</v>
      </c>
      <c r="P272">
        <v>9</v>
      </c>
      <c r="Q272">
        <v>5</v>
      </c>
      <c r="R272">
        <v>9</v>
      </c>
      <c r="S272">
        <v>14</v>
      </c>
      <c r="T272">
        <f t="shared" ref="T272:T285" si="8">IF(SUM(M272:P272) &gt; L272, 1, 0)</f>
        <v>1</v>
      </c>
    </row>
    <row r="273" spans="1:20" x14ac:dyDescent="0.2">
      <c r="A273">
        <v>272</v>
      </c>
      <c r="B273" t="s">
        <v>17</v>
      </c>
      <c r="C273" t="s">
        <v>510</v>
      </c>
      <c r="D273" t="s">
        <v>306</v>
      </c>
      <c r="E273">
        <v>19240202001</v>
      </c>
      <c r="F273" t="s">
        <v>36</v>
      </c>
      <c r="G273" t="s">
        <v>38</v>
      </c>
      <c r="H273" t="s">
        <v>42</v>
      </c>
      <c r="I273">
        <v>36</v>
      </c>
      <c r="J273">
        <v>29</v>
      </c>
      <c r="K273">
        <v>65</v>
      </c>
      <c r="L273">
        <v>42</v>
      </c>
      <c r="M273">
        <v>8</v>
      </c>
      <c r="N273">
        <v>10</v>
      </c>
      <c r="O273">
        <v>5</v>
      </c>
      <c r="P273">
        <v>7</v>
      </c>
      <c r="Q273">
        <v>5</v>
      </c>
      <c r="R273">
        <v>5</v>
      </c>
      <c r="S273">
        <v>10</v>
      </c>
      <c r="T273">
        <f t="shared" si="8"/>
        <v>0</v>
      </c>
    </row>
    <row r="274" spans="1:20" x14ac:dyDescent="0.2">
      <c r="A274">
        <v>273</v>
      </c>
      <c r="B274" t="s">
        <v>17</v>
      </c>
      <c r="C274" t="s">
        <v>510</v>
      </c>
      <c r="D274" t="s">
        <v>307</v>
      </c>
      <c r="E274">
        <v>19240203001</v>
      </c>
      <c r="F274" t="s">
        <v>36</v>
      </c>
      <c r="G274" t="s">
        <v>39</v>
      </c>
      <c r="H274" t="s">
        <v>41</v>
      </c>
      <c r="I274">
        <v>37</v>
      </c>
      <c r="J274">
        <v>38</v>
      </c>
      <c r="K274">
        <v>75</v>
      </c>
      <c r="L274">
        <v>53</v>
      </c>
      <c r="M274">
        <v>7</v>
      </c>
      <c r="N274">
        <v>9</v>
      </c>
      <c r="O274">
        <v>6</v>
      </c>
      <c r="P274">
        <v>7</v>
      </c>
      <c r="Q274">
        <v>6</v>
      </c>
      <c r="R274">
        <v>0</v>
      </c>
      <c r="S274">
        <v>6</v>
      </c>
      <c r="T274">
        <f t="shared" si="8"/>
        <v>0</v>
      </c>
    </row>
    <row r="275" spans="1:20" x14ac:dyDescent="0.2">
      <c r="A275">
        <v>274</v>
      </c>
      <c r="B275" t="s">
        <v>17</v>
      </c>
      <c r="C275" t="s">
        <v>510</v>
      </c>
      <c r="D275" t="s">
        <v>308</v>
      </c>
      <c r="E275">
        <v>19240201202</v>
      </c>
      <c r="F275" t="s">
        <v>36</v>
      </c>
      <c r="G275" t="s">
        <v>24</v>
      </c>
      <c r="H275" t="s">
        <v>42</v>
      </c>
      <c r="I275">
        <v>23</v>
      </c>
      <c r="J275">
        <v>23</v>
      </c>
      <c r="K275">
        <v>46</v>
      </c>
      <c r="L275">
        <v>22</v>
      </c>
      <c r="M275">
        <v>8</v>
      </c>
      <c r="N275">
        <v>10</v>
      </c>
      <c r="O275">
        <v>6</v>
      </c>
      <c r="P275">
        <v>5</v>
      </c>
      <c r="Q275">
        <v>6</v>
      </c>
      <c r="R275">
        <v>8</v>
      </c>
      <c r="S275">
        <v>14</v>
      </c>
      <c r="T275">
        <f t="shared" si="8"/>
        <v>1</v>
      </c>
    </row>
    <row r="276" spans="1:20" x14ac:dyDescent="0.2">
      <c r="A276">
        <v>275</v>
      </c>
      <c r="B276" t="s">
        <v>17</v>
      </c>
      <c r="C276" t="s">
        <v>510</v>
      </c>
      <c r="D276" t="s">
        <v>309</v>
      </c>
      <c r="E276">
        <v>19240204101</v>
      </c>
      <c r="F276" t="s">
        <v>35</v>
      </c>
      <c r="G276" t="s">
        <v>38</v>
      </c>
      <c r="H276" t="s">
        <v>43</v>
      </c>
      <c r="I276">
        <v>35</v>
      </c>
      <c r="J276">
        <v>39</v>
      </c>
      <c r="K276">
        <v>74</v>
      </c>
      <c r="L276">
        <v>52</v>
      </c>
      <c r="M276">
        <v>10</v>
      </c>
      <c r="N276">
        <v>5</v>
      </c>
      <c r="O276">
        <v>7</v>
      </c>
      <c r="P276">
        <v>6</v>
      </c>
      <c r="Q276">
        <v>7</v>
      </c>
      <c r="R276">
        <v>5</v>
      </c>
      <c r="S276">
        <v>12</v>
      </c>
      <c r="T276">
        <f t="shared" si="8"/>
        <v>0</v>
      </c>
    </row>
    <row r="277" spans="1:20" x14ac:dyDescent="0.2">
      <c r="A277">
        <v>276</v>
      </c>
      <c r="B277" t="s">
        <v>17</v>
      </c>
      <c r="C277" t="s">
        <v>510</v>
      </c>
      <c r="D277" t="s">
        <v>310</v>
      </c>
      <c r="E277">
        <v>19240206502</v>
      </c>
      <c r="F277" t="s">
        <v>36</v>
      </c>
      <c r="G277" t="s">
        <v>39</v>
      </c>
      <c r="H277" t="s">
        <v>42</v>
      </c>
      <c r="I277">
        <v>40</v>
      </c>
      <c r="J277">
        <v>25</v>
      </c>
      <c r="K277">
        <v>65</v>
      </c>
      <c r="L277">
        <v>41</v>
      </c>
      <c r="M277">
        <v>10</v>
      </c>
      <c r="N277">
        <v>5</v>
      </c>
      <c r="O277">
        <v>9</v>
      </c>
      <c r="P277">
        <v>5</v>
      </c>
      <c r="Q277">
        <v>10</v>
      </c>
      <c r="R277">
        <v>5</v>
      </c>
      <c r="S277">
        <v>15</v>
      </c>
      <c r="T277">
        <f t="shared" si="8"/>
        <v>0</v>
      </c>
    </row>
    <row r="278" spans="1:20" x14ac:dyDescent="0.2">
      <c r="A278">
        <v>277</v>
      </c>
      <c r="B278" t="s">
        <v>17</v>
      </c>
      <c r="C278" t="s">
        <v>512</v>
      </c>
      <c r="D278" t="s">
        <v>311</v>
      </c>
      <c r="E278">
        <v>19240300102</v>
      </c>
      <c r="F278" t="s">
        <v>37</v>
      </c>
      <c r="G278" t="s">
        <v>24</v>
      </c>
      <c r="H278" t="s">
        <v>42</v>
      </c>
      <c r="I278">
        <v>22</v>
      </c>
      <c r="J278">
        <v>28</v>
      </c>
      <c r="K278">
        <v>50</v>
      </c>
      <c r="L278">
        <v>23</v>
      </c>
      <c r="M278">
        <v>10</v>
      </c>
      <c r="N278">
        <v>10</v>
      </c>
      <c r="O278">
        <v>7</v>
      </c>
      <c r="P278">
        <v>5</v>
      </c>
      <c r="Q278">
        <v>8</v>
      </c>
      <c r="R278">
        <v>1</v>
      </c>
      <c r="S278">
        <v>9</v>
      </c>
      <c r="T278">
        <f t="shared" si="8"/>
        <v>1</v>
      </c>
    </row>
    <row r="279" spans="1:20" x14ac:dyDescent="0.2">
      <c r="A279">
        <v>278</v>
      </c>
      <c r="B279" t="s">
        <v>17</v>
      </c>
      <c r="C279" t="s">
        <v>510</v>
      </c>
      <c r="D279" t="s">
        <v>312</v>
      </c>
      <c r="E279">
        <v>19240206901</v>
      </c>
      <c r="F279" t="s">
        <v>35</v>
      </c>
      <c r="G279" t="s">
        <v>24</v>
      </c>
      <c r="H279" t="s">
        <v>44</v>
      </c>
      <c r="I279">
        <v>30</v>
      </c>
      <c r="J279">
        <v>37</v>
      </c>
      <c r="K279">
        <v>67</v>
      </c>
      <c r="L279">
        <v>45</v>
      </c>
      <c r="M279">
        <v>8</v>
      </c>
      <c r="N279">
        <v>9</v>
      </c>
      <c r="O279">
        <v>5</v>
      </c>
      <c r="P279">
        <v>5</v>
      </c>
      <c r="Q279">
        <v>0</v>
      </c>
      <c r="R279">
        <v>8</v>
      </c>
      <c r="S279">
        <v>8</v>
      </c>
      <c r="T279">
        <f t="shared" si="8"/>
        <v>0</v>
      </c>
    </row>
    <row r="280" spans="1:20" x14ac:dyDescent="0.2">
      <c r="A280">
        <v>279</v>
      </c>
      <c r="B280" t="s">
        <v>17</v>
      </c>
      <c r="C280" t="s">
        <v>510</v>
      </c>
      <c r="D280" t="s">
        <v>313</v>
      </c>
      <c r="E280">
        <v>19240205901</v>
      </c>
      <c r="F280" t="s">
        <v>37</v>
      </c>
      <c r="G280" t="s">
        <v>23</v>
      </c>
      <c r="H280" t="s">
        <v>43</v>
      </c>
      <c r="I280">
        <v>24</v>
      </c>
      <c r="J280">
        <v>24</v>
      </c>
      <c r="K280">
        <v>48</v>
      </c>
      <c r="L280">
        <v>28</v>
      </c>
      <c r="M280">
        <v>7</v>
      </c>
      <c r="N280">
        <v>6</v>
      </c>
      <c r="O280">
        <v>7</v>
      </c>
      <c r="P280">
        <v>6</v>
      </c>
      <c r="Q280">
        <v>2</v>
      </c>
      <c r="R280">
        <v>6</v>
      </c>
      <c r="S280">
        <v>8</v>
      </c>
      <c r="T280">
        <f t="shared" si="8"/>
        <v>0</v>
      </c>
    </row>
    <row r="281" spans="1:20" x14ac:dyDescent="0.2">
      <c r="A281">
        <v>280</v>
      </c>
      <c r="B281" t="s">
        <v>17</v>
      </c>
      <c r="C281" t="s">
        <v>510</v>
      </c>
      <c r="D281" t="s">
        <v>314</v>
      </c>
      <c r="E281">
        <v>19240201905</v>
      </c>
      <c r="F281" t="s">
        <v>36</v>
      </c>
      <c r="G281" t="s">
        <v>40</v>
      </c>
      <c r="H281" t="s">
        <v>42</v>
      </c>
      <c r="I281">
        <v>40</v>
      </c>
      <c r="J281">
        <v>32</v>
      </c>
      <c r="K281">
        <v>72</v>
      </c>
      <c r="L281">
        <v>47</v>
      </c>
      <c r="M281">
        <v>9</v>
      </c>
      <c r="N281">
        <v>10</v>
      </c>
      <c r="O281">
        <v>6</v>
      </c>
      <c r="P281">
        <v>10</v>
      </c>
      <c r="Q281">
        <v>3</v>
      </c>
      <c r="R281">
        <v>4</v>
      </c>
      <c r="S281">
        <v>7</v>
      </c>
      <c r="T281">
        <f t="shared" si="8"/>
        <v>0</v>
      </c>
    </row>
    <row r="282" spans="1:20" x14ac:dyDescent="0.2">
      <c r="A282">
        <v>281</v>
      </c>
      <c r="B282" t="s">
        <v>17</v>
      </c>
      <c r="C282" t="s">
        <v>510</v>
      </c>
      <c r="D282" t="s">
        <v>315</v>
      </c>
      <c r="E282">
        <v>19240204503</v>
      </c>
      <c r="F282" t="s">
        <v>35</v>
      </c>
      <c r="G282" t="s">
        <v>23</v>
      </c>
      <c r="H282" t="s">
        <v>41</v>
      </c>
      <c r="I282">
        <v>24</v>
      </c>
      <c r="J282">
        <v>36</v>
      </c>
      <c r="K282">
        <v>60</v>
      </c>
      <c r="L282">
        <v>37</v>
      </c>
      <c r="M282">
        <v>7</v>
      </c>
      <c r="N282">
        <v>9</v>
      </c>
      <c r="O282">
        <v>7</v>
      </c>
      <c r="P282">
        <v>5</v>
      </c>
      <c r="Q282">
        <v>7</v>
      </c>
      <c r="R282">
        <v>10</v>
      </c>
      <c r="S282">
        <v>17</v>
      </c>
      <c r="T282">
        <f t="shared" si="8"/>
        <v>0</v>
      </c>
    </row>
    <row r="283" spans="1:20" x14ac:dyDescent="0.2">
      <c r="A283">
        <v>282</v>
      </c>
      <c r="B283" t="s">
        <v>17</v>
      </c>
      <c r="C283" t="s">
        <v>510</v>
      </c>
      <c r="D283" t="s">
        <v>316</v>
      </c>
      <c r="E283">
        <v>19240207502</v>
      </c>
      <c r="F283" t="s">
        <v>36</v>
      </c>
      <c r="G283" t="s">
        <v>38</v>
      </c>
      <c r="H283" t="s">
        <v>42</v>
      </c>
      <c r="I283">
        <v>28</v>
      </c>
      <c r="J283">
        <v>20</v>
      </c>
      <c r="K283">
        <v>48</v>
      </c>
      <c r="L283">
        <v>29</v>
      </c>
      <c r="M283">
        <v>5</v>
      </c>
      <c r="N283">
        <v>6</v>
      </c>
      <c r="O283">
        <v>8</v>
      </c>
      <c r="P283">
        <v>10</v>
      </c>
      <c r="Q283">
        <v>0</v>
      </c>
      <c r="R283">
        <v>2</v>
      </c>
      <c r="S283">
        <v>2</v>
      </c>
      <c r="T283">
        <f t="shared" si="8"/>
        <v>0</v>
      </c>
    </row>
    <row r="284" spans="1:20" x14ac:dyDescent="0.2">
      <c r="A284">
        <v>283</v>
      </c>
      <c r="B284" t="s">
        <v>17</v>
      </c>
      <c r="C284" t="s">
        <v>510</v>
      </c>
      <c r="D284" t="s">
        <v>317</v>
      </c>
      <c r="E284">
        <v>19240208303</v>
      </c>
      <c r="F284" t="s">
        <v>36</v>
      </c>
      <c r="G284" t="s">
        <v>39</v>
      </c>
      <c r="H284" t="s">
        <v>41</v>
      </c>
      <c r="I284">
        <v>28</v>
      </c>
      <c r="J284">
        <v>28</v>
      </c>
      <c r="K284">
        <v>56</v>
      </c>
      <c r="L284">
        <v>31</v>
      </c>
      <c r="M284">
        <v>8</v>
      </c>
      <c r="N284">
        <v>10</v>
      </c>
      <c r="O284">
        <v>7</v>
      </c>
      <c r="P284">
        <v>10</v>
      </c>
      <c r="Q284">
        <v>5</v>
      </c>
      <c r="R284">
        <v>8</v>
      </c>
      <c r="S284">
        <v>13</v>
      </c>
      <c r="T284">
        <f t="shared" si="8"/>
        <v>1</v>
      </c>
    </row>
    <row r="285" spans="1:20" x14ac:dyDescent="0.2">
      <c r="A285">
        <v>284</v>
      </c>
      <c r="B285" t="s">
        <v>17</v>
      </c>
      <c r="C285" t="s">
        <v>510</v>
      </c>
      <c r="D285" t="s">
        <v>318</v>
      </c>
      <c r="E285">
        <v>19240206001</v>
      </c>
      <c r="F285" t="s">
        <v>36</v>
      </c>
      <c r="G285" t="s">
        <v>24</v>
      </c>
      <c r="H285" t="s">
        <v>42</v>
      </c>
      <c r="I285">
        <v>33</v>
      </c>
      <c r="J285">
        <v>39</v>
      </c>
      <c r="K285">
        <v>72</v>
      </c>
      <c r="L285">
        <v>49</v>
      </c>
      <c r="M285">
        <v>8</v>
      </c>
      <c r="N285">
        <v>9</v>
      </c>
      <c r="O285">
        <v>6</v>
      </c>
      <c r="P285">
        <v>7</v>
      </c>
      <c r="Q285">
        <v>5</v>
      </c>
      <c r="R285">
        <v>4</v>
      </c>
      <c r="S285">
        <v>9</v>
      </c>
      <c r="T285">
        <f t="shared" si="8"/>
        <v>0</v>
      </c>
    </row>
    <row r="286" spans="1:20" x14ac:dyDescent="0.2">
      <c r="A286">
        <v>285</v>
      </c>
      <c r="B286" t="s">
        <v>17</v>
      </c>
      <c r="C286" t="s">
        <v>510</v>
      </c>
      <c r="D286" t="s">
        <v>319</v>
      </c>
      <c r="E286">
        <v>19240201501</v>
      </c>
      <c r="F286" t="s">
        <v>35</v>
      </c>
      <c r="G286" t="s">
        <v>38</v>
      </c>
      <c r="H286" t="s">
        <v>43</v>
      </c>
      <c r="I286">
        <v>24</v>
      </c>
      <c r="J286">
        <v>33</v>
      </c>
      <c r="K286">
        <v>57</v>
      </c>
      <c r="L286">
        <v>30</v>
      </c>
      <c r="M286">
        <v>9</v>
      </c>
      <c r="N286">
        <v>10</v>
      </c>
      <c r="O286">
        <v>8</v>
      </c>
      <c r="P286">
        <v>5</v>
      </c>
      <c r="Q286">
        <v>9</v>
      </c>
      <c r="R286">
        <v>5</v>
      </c>
      <c r="S286">
        <v>14</v>
      </c>
      <c r="T286">
        <f t="shared" ref="T286:T320" si="9">IF(SUM(M286:P286) &gt; L286, 1, 0)</f>
        <v>1</v>
      </c>
    </row>
    <row r="287" spans="1:20" x14ac:dyDescent="0.2">
      <c r="A287">
        <v>286</v>
      </c>
      <c r="B287" t="s">
        <v>17</v>
      </c>
      <c r="C287" t="s">
        <v>510</v>
      </c>
      <c r="D287" t="s">
        <v>320</v>
      </c>
      <c r="E287">
        <v>19240206501</v>
      </c>
      <c r="F287" t="s">
        <v>36</v>
      </c>
      <c r="G287" t="s">
        <v>39</v>
      </c>
      <c r="H287" t="s">
        <v>42</v>
      </c>
      <c r="I287">
        <v>27</v>
      </c>
      <c r="J287">
        <v>35</v>
      </c>
      <c r="K287">
        <v>62</v>
      </c>
      <c r="L287">
        <v>37</v>
      </c>
      <c r="M287">
        <v>9</v>
      </c>
      <c r="N287">
        <v>7</v>
      </c>
      <c r="O287">
        <v>9</v>
      </c>
      <c r="P287">
        <v>8</v>
      </c>
      <c r="Q287">
        <v>8</v>
      </c>
      <c r="R287">
        <v>1</v>
      </c>
      <c r="S287">
        <v>9</v>
      </c>
      <c r="T287">
        <f t="shared" si="9"/>
        <v>0</v>
      </c>
    </row>
    <row r="288" spans="1:20" x14ac:dyDescent="0.2">
      <c r="A288">
        <v>287</v>
      </c>
      <c r="B288" t="s">
        <v>17</v>
      </c>
      <c r="C288" t="s">
        <v>510</v>
      </c>
      <c r="D288" t="s">
        <v>321</v>
      </c>
      <c r="E288">
        <v>19240200103</v>
      </c>
      <c r="F288" t="s">
        <v>37</v>
      </c>
      <c r="G288" t="s">
        <v>24</v>
      </c>
      <c r="H288" t="s">
        <v>42</v>
      </c>
      <c r="I288">
        <v>38</v>
      </c>
      <c r="J288">
        <v>37</v>
      </c>
      <c r="K288">
        <v>75</v>
      </c>
      <c r="L288">
        <v>53</v>
      </c>
      <c r="M288">
        <v>8</v>
      </c>
      <c r="N288">
        <v>5</v>
      </c>
      <c r="O288">
        <v>9</v>
      </c>
      <c r="P288">
        <v>10</v>
      </c>
      <c r="Q288">
        <v>10</v>
      </c>
      <c r="R288">
        <v>5</v>
      </c>
      <c r="S288">
        <v>15</v>
      </c>
      <c r="T288">
        <f t="shared" si="9"/>
        <v>0</v>
      </c>
    </row>
    <row r="289" spans="1:20" x14ac:dyDescent="0.2">
      <c r="A289">
        <v>288</v>
      </c>
      <c r="B289" t="s">
        <v>17</v>
      </c>
      <c r="C289" t="s">
        <v>510</v>
      </c>
      <c r="D289" t="s">
        <v>322</v>
      </c>
      <c r="E289">
        <v>19240201403</v>
      </c>
      <c r="F289" t="s">
        <v>35</v>
      </c>
      <c r="G289" t="s">
        <v>24</v>
      </c>
      <c r="H289" t="s">
        <v>44</v>
      </c>
      <c r="I289">
        <v>31</v>
      </c>
      <c r="J289">
        <v>24</v>
      </c>
      <c r="K289">
        <v>55</v>
      </c>
      <c r="L289">
        <v>26</v>
      </c>
      <c r="M289">
        <v>9</v>
      </c>
      <c r="N289">
        <v>10</v>
      </c>
      <c r="O289">
        <v>10</v>
      </c>
      <c r="P289">
        <v>10</v>
      </c>
      <c r="Q289">
        <v>2</v>
      </c>
      <c r="R289">
        <v>6</v>
      </c>
      <c r="S289">
        <v>8</v>
      </c>
      <c r="T289">
        <f t="shared" si="9"/>
        <v>1</v>
      </c>
    </row>
    <row r="290" spans="1:20" x14ac:dyDescent="0.2">
      <c r="A290">
        <v>289</v>
      </c>
      <c r="B290" t="s">
        <v>17</v>
      </c>
      <c r="C290" t="s">
        <v>510</v>
      </c>
      <c r="D290" t="s">
        <v>323</v>
      </c>
      <c r="E290">
        <v>19240201601</v>
      </c>
      <c r="F290" t="s">
        <v>37</v>
      </c>
      <c r="G290" t="s">
        <v>23</v>
      </c>
      <c r="H290" t="s">
        <v>43</v>
      </c>
      <c r="I290">
        <v>25</v>
      </c>
      <c r="J290">
        <v>26</v>
      </c>
      <c r="K290">
        <v>51</v>
      </c>
      <c r="L290">
        <v>30</v>
      </c>
      <c r="M290">
        <v>9</v>
      </c>
      <c r="N290">
        <v>5</v>
      </c>
      <c r="O290">
        <v>7</v>
      </c>
      <c r="P290">
        <v>7</v>
      </c>
      <c r="Q290">
        <v>3</v>
      </c>
      <c r="R290">
        <v>9</v>
      </c>
      <c r="S290">
        <v>12</v>
      </c>
      <c r="T290">
        <f t="shared" si="9"/>
        <v>0</v>
      </c>
    </row>
    <row r="291" spans="1:20" x14ac:dyDescent="0.2">
      <c r="A291">
        <v>290</v>
      </c>
      <c r="B291" t="s">
        <v>17</v>
      </c>
      <c r="C291" t="s">
        <v>510</v>
      </c>
      <c r="D291" t="s">
        <v>324</v>
      </c>
      <c r="E291">
        <v>19240200403</v>
      </c>
      <c r="F291" t="s">
        <v>36</v>
      </c>
      <c r="G291" t="s">
        <v>40</v>
      </c>
      <c r="H291" t="s">
        <v>42</v>
      </c>
      <c r="I291">
        <v>28</v>
      </c>
      <c r="J291">
        <v>36</v>
      </c>
      <c r="K291">
        <v>64</v>
      </c>
      <c r="L291">
        <v>46</v>
      </c>
      <c r="M291">
        <v>8</v>
      </c>
      <c r="N291">
        <v>5</v>
      </c>
      <c r="O291">
        <v>5</v>
      </c>
      <c r="P291">
        <v>7</v>
      </c>
      <c r="Q291">
        <v>6</v>
      </c>
      <c r="R291">
        <v>4</v>
      </c>
      <c r="S291">
        <v>10</v>
      </c>
      <c r="T291">
        <f t="shared" si="9"/>
        <v>0</v>
      </c>
    </row>
    <row r="292" spans="1:20" x14ac:dyDescent="0.2">
      <c r="A292">
        <v>291</v>
      </c>
      <c r="B292" t="s">
        <v>17</v>
      </c>
      <c r="C292" t="s">
        <v>510</v>
      </c>
      <c r="D292" t="s">
        <v>325</v>
      </c>
      <c r="E292">
        <v>19240200301</v>
      </c>
      <c r="F292" t="s">
        <v>35</v>
      </c>
      <c r="G292" t="s">
        <v>23</v>
      </c>
      <c r="H292" t="s">
        <v>41</v>
      </c>
      <c r="I292">
        <v>25</v>
      </c>
      <c r="J292">
        <v>36</v>
      </c>
      <c r="K292">
        <v>61</v>
      </c>
      <c r="L292">
        <v>35</v>
      </c>
      <c r="M292">
        <v>9</v>
      </c>
      <c r="N292">
        <v>7</v>
      </c>
      <c r="O292">
        <v>10</v>
      </c>
      <c r="P292">
        <v>5</v>
      </c>
      <c r="Q292">
        <v>7</v>
      </c>
      <c r="R292">
        <v>10</v>
      </c>
      <c r="S292">
        <v>17</v>
      </c>
      <c r="T292">
        <f t="shared" si="9"/>
        <v>0</v>
      </c>
    </row>
    <row r="293" spans="1:20" x14ac:dyDescent="0.2">
      <c r="A293">
        <v>292</v>
      </c>
      <c r="B293" t="s">
        <v>17</v>
      </c>
      <c r="C293" t="s">
        <v>510</v>
      </c>
      <c r="D293" t="s">
        <v>326</v>
      </c>
      <c r="E293">
        <v>19240207602</v>
      </c>
      <c r="F293" t="s">
        <v>36</v>
      </c>
      <c r="G293" t="s">
        <v>38</v>
      </c>
      <c r="H293" t="s">
        <v>42</v>
      </c>
      <c r="I293">
        <v>37</v>
      </c>
      <c r="J293">
        <v>34</v>
      </c>
      <c r="K293">
        <v>71</v>
      </c>
      <c r="L293">
        <v>49</v>
      </c>
      <c r="M293">
        <v>7</v>
      </c>
      <c r="N293">
        <v>8</v>
      </c>
      <c r="O293">
        <v>7</v>
      </c>
      <c r="P293">
        <v>8</v>
      </c>
      <c r="Q293">
        <v>3</v>
      </c>
      <c r="R293">
        <v>5</v>
      </c>
      <c r="S293">
        <v>8</v>
      </c>
      <c r="T293">
        <f t="shared" si="9"/>
        <v>0</v>
      </c>
    </row>
    <row r="294" spans="1:20" x14ac:dyDescent="0.2">
      <c r="A294">
        <v>293</v>
      </c>
      <c r="B294" t="s">
        <v>17</v>
      </c>
      <c r="C294" t="s">
        <v>510</v>
      </c>
      <c r="D294" t="s">
        <v>327</v>
      </c>
      <c r="E294">
        <v>19240200901</v>
      </c>
      <c r="F294" t="s">
        <v>36</v>
      </c>
      <c r="G294" t="s">
        <v>39</v>
      </c>
      <c r="H294" t="s">
        <v>41</v>
      </c>
      <c r="I294">
        <v>34</v>
      </c>
      <c r="J294">
        <v>22</v>
      </c>
      <c r="K294">
        <v>56</v>
      </c>
      <c r="L294">
        <v>38</v>
      </c>
      <c r="M294">
        <v>5</v>
      </c>
      <c r="N294">
        <v>7</v>
      </c>
      <c r="O294">
        <v>6</v>
      </c>
      <c r="P294">
        <v>5</v>
      </c>
      <c r="Q294">
        <v>5</v>
      </c>
      <c r="R294">
        <v>8</v>
      </c>
      <c r="S294">
        <v>13</v>
      </c>
      <c r="T294">
        <f t="shared" si="9"/>
        <v>0</v>
      </c>
    </row>
    <row r="295" spans="1:20" x14ac:dyDescent="0.2">
      <c r="A295">
        <v>294</v>
      </c>
      <c r="B295" t="s">
        <v>17</v>
      </c>
      <c r="C295" t="s">
        <v>510</v>
      </c>
      <c r="D295" t="s">
        <v>328</v>
      </c>
      <c r="E295">
        <v>19240205201</v>
      </c>
      <c r="F295" t="s">
        <v>36</v>
      </c>
      <c r="G295" t="s">
        <v>24</v>
      </c>
      <c r="H295" t="s">
        <v>42</v>
      </c>
      <c r="I295">
        <v>40</v>
      </c>
      <c r="J295">
        <v>33</v>
      </c>
      <c r="K295">
        <v>73</v>
      </c>
      <c r="L295">
        <v>52</v>
      </c>
      <c r="M295">
        <v>7</v>
      </c>
      <c r="N295">
        <v>5</v>
      </c>
      <c r="O295">
        <v>9</v>
      </c>
      <c r="P295">
        <v>7</v>
      </c>
      <c r="Q295">
        <v>9</v>
      </c>
      <c r="R295">
        <v>6</v>
      </c>
      <c r="S295">
        <v>15</v>
      </c>
      <c r="T295">
        <f t="shared" si="9"/>
        <v>0</v>
      </c>
    </row>
    <row r="296" spans="1:20" x14ac:dyDescent="0.2">
      <c r="A296">
        <v>295</v>
      </c>
      <c r="B296" t="s">
        <v>17</v>
      </c>
      <c r="C296" t="s">
        <v>510</v>
      </c>
      <c r="D296" t="s">
        <v>329</v>
      </c>
      <c r="E296">
        <v>19240202805</v>
      </c>
      <c r="F296" t="s">
        <v>35</v>
      </c>
      <c r="G296" t="s">
        <v>38</v>
      </c>
      <c r="H296" t="s">
        <v>43</v>
      </c>
      <c r="I296">
        <v>24</v>
      </c>
      <c r="J296">
        <v>34</v>
      </c>
      <c r="K296">
        <v>58</v>
      </c>
      <c r="L296">
        <v>34</v>
      </c>
      <c r="M296">
        <v>10</v>
      </c>
      <c r="N296">
        <v>6</v>
      </c>
      <c r="O296">
        <v>8</v>
      </c>
      <c r="P296">
        <v>9</v>
      </c>
      <c r="Q296">
        <v>1</v>
      </c>
      <c r="R296">
        <v>8</v>
      </c>
      <c r="S296">
        <v>9</v>
      </c>
      <c r="T296">
        <f t="shared" si="9"/>
        <v>0</v>
      </c>
    </row>
    <row r="297" spans="1:20" x14ac:dyDescent="0.2">
      <c r="A297">
        <v>296</v>
      </c>
      <c r="B297" t="s">
        <v>17</v>
      </c>
      <c r="C297" t="s">
        <v>510</v>
      </c>
      <c r="D297" t="s">
        <v>330</v>
      </c>
      <c r="E297">
        <v>19240205203</v>
      </c>
      <c r="F297" t="s">
        <v>36</v>
      </c>
      <c r="G297" t="s">
        <v>39</v>
      </c>
      <c r="H297" t="s">
        <v>42</v>
      </c>
      <c r="I297">
        <v>36</v>
      </c>
      <c r="J297">
        <v>28</v>
      </c>
      <c r="K297">
        <v>64</v>
      </c>
      <c r="L297">
        <v>39</v>
      </c>
      <c r="M297">
        <v>9</v>
      </c>
      <c r="N297">
        <v>9</v>
      </c>
      <c r="O297">
        <v>7</v>
      </c>
      <c r="P297">
        <v>5</v>
      </c>
      <c r="Q297">
        <v>7</v>
      </c>
      <c r="R297">
        <v>0</v>
      </c>
      <c r="S297">
        <v>7</v>
      </c>
      <c r="T297">
        <f t="shared" si="9"/>
        <v>0</v>
      </c>
    </row>
    <row r="298" spans="1:20" x14ac:dyDescent="0.2">
      <c r="A298">
        <v>297</v>
      </c>
      <c r="B298" t="s">
        <v>17</v>
      </c>
      <c r="C298" t="s">
        <v>510</v>
      </c>
      <c r="D298" t="s">
        <v>331</v>
      </c>
      <c r="E298">
        <v>19240204402</v>
      </c>
      <c r="F298" t="s">
        <v>37</v>
      </c>
      <c r="G298" t="s">
        <v>24</v>
      </c>
      <c r="H298" t="s">
        <v>42</v>
      </c>
      <c r="I298">
        <v>27</v>
      </c>
      <c r="J298">
        <v>28</v>
      </c>
      <c r="K298">
        <v>55</v>
      </c>
      <c r="L298">
        <v>35</v>
      </c>
      <c r="M298">
        <v>8</v>
      </c>
      <c r="N298">
        <v>6</v>
      </c>
      <c r="O298">
        <v>6</v>
      </c>
      <c r="P298">
        <v>6</v>
      </c>
      <c r="Q298">
        <v>5</v>
      </c>
      <c r="R298">
        <v>9</v>
      </c>
      <c r="S298">
        <v>14</v>
      </c>
      <c r="T298">
        <f t="shared" si="9"/>
        <v>0</v>
      </c>
    </row>
    <row r="299" spans="1:20" x14ac:dyDescent="0.2">
      <c r="A299">
        <v>298</v>
      </c>
      <c r="B299" t="s">
        <v>17</v>
      </c>
      <c r="C299" t="s">
        <v>510</v>
      </c>
      <c r="D299" t="s">
        <v>332</v>
      </c>
      <c r="E299">
        <v>19240200707</v>
      </c>
      <c r="F299" t="s">
        <v>35</v>
      </c>
      <c r="G299" t="s">
        <v>24</v>
      </c>
      <c r="H299" t="s">
        <v>44</v>
      </c>
      <c r="I299">
        <v>25</v>
      </c>
      <c r="J299">
        <v>35</v>
      </c>
      <c r="K299">
        <v>60</v>
      </c>
      <c r="L299">
        <v>33</v>
      </c>
      <c r="M299">
        <v>8</v>
      </c>
      <c r="N299">
        <v>10</v>
      </c>
      <c r="O299">
        <v>9</v>
      </c>
      <c r="P299">
        <v>10</v>
      </c>
      <c r="Q299">
        <v>3</v>
      </c>
      <c r="R299">
        <v>6</v>
      </c>
      <c r="S299">
        <v>9</v>
      </c>
      <c r="T299">
        <f t="shared" si="9"/>
        <v>1</v>
      </c>
    </row>
    <row r="300" spans="1:20" x14ac:dyDescent="0.2">
      <c r="A300">
        <v>299</v>
      </c>
      <c r="B300" t="s">
        <v>17</v>
      </c>
      <c r="C300" t="s">
        <v>510</v>
      </c>
      <c r="D300" t="s">
        <v>333</v>
      </c>
      <c r="E300">
        <v>19240206701</v>
      </c>
      <c r="F300" t="s">
        <v>37</v>
      </c>
      <c r="G300" t="s">
        <v>23</v>
      </c>
      <c r="H300" t="s">
        <v>43</v>
      </c>
      <c r="I300">
        <v>28</v>
      </c>
      <c r="J300">
        <v>22</v>
      </c>
      <c r="K300">
        <v>50</v>
      </c>
      <c r="L300">
        <v>26</v>
      </c>
      <c r="M300">
        <v>9</v>
      </c>
      <c r="N300">
        <v>9</v>
      </c>
      <c r="O300">
        <v>6</v>
      </c>
      <c r="P300">
        <v>9</v>
      </c>
      <c r="Q300">
        <v>8</v>
      </c>
      <c r="R300">
        <v>10</v>
      </c>
      <c r="S300">
        <v>18</v>
      </c>
      <c r="T300">
        <f t="shared" si="9"/>
        <v>1</v>
      </c>
    </row>
    <row r="301" spans="1:20" x14ac:dyDescent="0.2">
      <c r="A301">
        <v>300</v>
      </c>
      <c r="B301" t="s">
        <v>17</v>
      </c>
      <c r="C301" t="s">
        <v>510</v>
      </c>
      <c r="D301" t="s">
        <v>334</v>
      </c>
      <c r="E301">
        <v>19240205102</v>
      </c>
      <c r="F301" t="s">
        <v>36</v>
      </c>
      <c r="G301" t="s">
        <v>40</v>
      </c>
      <c r="H301" t="s">
        <v>42</v>
      </c>
      <c r="I301">
        <v>27</v>
      </c>
      <c r="J301">
        <v>28</v>
      </c>
      <c r="K301">
        <v>55</v>
      </c>
      <c r="L301">
        <v>33</v>
      </c>
      <c r="M301">
        <v>5</v>
      </c>
      <c r="N301">
        <v>10</v>
      </c>
      <c r="O301">
        <v>7</v>
      </c>
      <c r="P301">
        <v>10</v>
      </c>
      <c r="Q301">
        <v>2</v>
      </c>
      <c r="R301">
        <v>7</v>
      </c>
      <c r="S301">
        <v>9</v>
      </c>
      <c r="T301">
        <f t="shared" si="9"/>
        <v>0</v>
      </c>
    </row>
    <row r="302" spans="1:20" x14ac:dyDescent="0.2">
      <c r="A302">
        <v>301</v>
      </c>
      <c r="B302" t="s">
        <v>17</v>
      </c>
      <c r="C302" t="s">
        <v>510</v>
      </c>
      <c r="D302" t="s">
        <v>335</v>
      </c>
      <c r="E302">
        <v>19240202502</v>
      </c>
      <c r="F302" t="s">
        <v>35</v>
      </c>
      <c r="G302" t="s">
        <v>23</v>
      </c>
      <c r="H302" t="s">
        <v>41</v>
      </c>
      <c r="I302">
        <v>31</v>
      </c>
      <c r="J302">
        <v>28</v>
      </c>
      <c r="K302">
        <v>59</v>
      </c>
      <c r="L302">
        <v>41</v>
      </c>
      <c r="M302">
        <v>6</v>
      </c>
      <c r="N302">
        <v>7</v>
      </c>
      <c r="O302">
        <v>5</v>
      </c>
      <c r="P302">
        <v>9</v>
      </c>
      <c r="Q302">
        <v>6</v>
      </c>
      <c r="R302">
        <v>6</v>
      </c>
      <c r="S302">
        <v>12</v>
      </c>
      <c r="T302">
        <f t="shared" si="9"/>
        <v>0</v>
      </c>
    </row>
    <row r="303" spans="1:20" x14ac:dyDescent="0.2">
      <c r="A303">
        <v>302</v>
      </c>
      <c r="B303" t="s">
        <v>17</v>
      </c>
      <c r="C303" t="s">
        <v>510</v>
      </c>
      <c r="D303" t="s">
        <v>336</v>
      </c>
      <c r="E303">
        <v>19240202506</v>
      </c>
      <c r="F303" t="s">
        <v>36</v>
      </c>
      <c r="G303" t="s">
        <v>38</v>
      </c>
      <c r="H303" t="s">
        <v>42</v>
      </c>
      <c r="I303">
        <v>23</v>
      </c>
      <c r="J303">
        <v>37</v>
      </c>
      <c r="K303">
        <v>60</v>
      </c>
      <c r="L303">
        <v>41</v>
      </c>
      <c r="M303">
        <v>5</v>
      </c>
      <c r="N303">
        <v>6</v>
      </c>
      <c r="O303">
        <v>8</v>
      </c>
      <c r="P303">
        <v>9</v>
      </c>
      <c r="Q303">
        <v>0</v>
      </c>
      <c r="R303">
        <v>2</v>
      </c>
      <c r="S303">
        <v>2</v>
      </c>
      <c r="T303">
        <f t="shared" si="9"/>
        <v>0</v>
      </c>
    </row>
    <row r="304" spans="1:20" x14ac:dyDescent="0.2">
      <c r="A304">
        <v>303</v>
      </c>
      <c r="B304" t="s">
        <v>17</v>
      </c>
      <c r="C304" t="s">
        <v>510</v>
      </c>
      <c r="D304" t="s">
        <v>337</v>
      </c>
      <c r="E304">
        <v>19240207801</v>
      </c>
      <c r="F304" t="s">
        <v>36</v>
      </c>
      <c r="G304" t="s">
        <v>39</v>
      </c>
      <c r="H304" t="s">
        <v>41</v>
      </c>
      <c r="I304">
        <v>30</v>
      </c>
      <c r="J304">
        <v>35</v>
      </c>
      <c r="K304">
        <v>65</v>
      </c>
      <c r="L304">
        <v>42</v>
      </c>
      <c r="M304">
        <v>5</v>
      </c>
      <c r="N304">
        <v>8</v>
      </c>
      <c r="O304">
        <v>10</v>
      </c>
      <c r="P304">
        <v>6</v>
      </c>
      <c r="Q304">
        <v>5</v>
      </c>
      <c r="R304">
        <v>2</v>
      </c>
      <c r="S304">
        <v>7</v>
      </c>
      <c r="T304">
        <f t="shared" si="9"/>
        <v>0</v>
      </c>
    </row>
    <row r="305" spans="1:20" x14ac:dyDescent="0.2">
      <c r="A305">
        <v>304</v>
      </c>
      <c r="B305" t="s">
        <v>17</v>
      </c>
      <c r="C305" t="s">
        <v>510</v>
      </c>
      <c r="D305" t="s">
        <v>338</v>
      </c>
      <c r="E305">
        <v>19240200706</v>
      </c>
      <c r="F305" t="s">
        <v>36</v>
      </c>
      <c r="G305" t="s">
        <v>24</v>
      </c>
      <c r="H305" t="s">
        <v>42</v>
      </c>
      <c r="I305">
        <v>29</v>
      </c>
      <c r="J305">
        <v>24</v>
      </c>
      <c r="K305">
        <v>53</v>
      </c>
      <c r="L305">
        <v>33</v>
      </c>
      <c r="M305">
        <v>8</v>
      </c>
      <c r="N305">
        <v>6</v>
      </c>
      <c r="O305">
        <v>6</v>
      </c>
      <c r="P305">
        <v>7</v>
      </c>
      <c r="Q305">
        <v>0</v>
      </c>
      <c r="R305">
        <v>10</v>
      </c>
      <c r="S305">
        <v>10</v>
      </c>
      <c r="T305">
        <f t="shared" si="9"/>
        <v>0</v>
      </c>
    </row>
    <row r="306" spans="1:20" x14ac:dyDescent="0.2">
      <c r="A306">
        <v>305</v>
      </c>
      <c r="B306" t="s">
        <v>17</v>
      </c>
      <c r="C306" t="s">
        <v>510</v>
      </c>
      <c r="D306" t="s">
        <v>339</v>
      </c>
      <c r="E306">
        <v>19240206301</v>
      </c>
      <c r="F306" t="s">
        <v>35</v>
      </c>
      <c r="G306" t="s">
        <v>38</v>
      </c>
      <c r="H306" t="s">
        <v>43</v>
      </c>
      <c r="I306">
        <v>32</v>
      </c>
      <c r="J306">
        <v>38</v>
      </c>
      <c r="K306">
        <v>70</v>
      </c>
      <c r="L306">
        <v>41</v>
      </c>
      <c r="M306">
        <v>10</v>
      </c>
      <c r="N306">
        <v>9</v>
      </c>
      <c r="O306">
        <v>10</v>
      </c>
      <c r="P306">
        <v>6</v>
      </c>
      <c r="Q306">
        <v>1</v>
      </c>
      <c r="R306">
        <v>1</v>
      </c>
      <c r="S306">
        <v>2</v>
      </c>
      <c r="T306">
        <f t="shared" si="9"/>
        <v>0</v>
      </c>
    </row>
    <row r="307" spans="1:20" x14ac:dyDescent="0.2">
      <c r="A307">
        <v>306</v>
      </c>
      <c r="B307" t="s">
        <v>17</v>
      </c>
      <c r="C307" t="s">
        <v>510</v>
      </c>
      <c r="D307" t="s">
        <v>340</v>
      </c>
      <c r="E307">
        <v>19240203901</v>
      </c>
      <c r="F307" t="s">
        <v>36</v>
      </c>
      <c r="G307" t="s">
        <v>39</v>
      </c>
      <c r="H307" t="s">
        <v>42</v>
      </c>
      <c r="I307">
        <v>33</v>
      </c>
      <c r="J307">
        <v>29</v>
      </c>
      <c r="K307">
        <v>62</v>
      </c>
      <c r="L307">
        <v>40</v>
      </c>
      <c r="M307">
        <v>6</v>
      </c>
      <c r="N307">
        <v>7</v>
      </c>
      <c r="O307">
        <v>9</v>
      </c>
      <c r="P307">
        <v>10</v>
      </c>
      <c r="Q307">
        <v>0</v>
      </c>
      <c r="R307">
        <v>3</v>
      </c>
      <c r="S307">
        <v>3</v>
      </c>
      <c r="T307">
        <f t="shared" si="9"/>
        <v>0</v>
      </c>
    </row>
    <row r="308" spans="1:20" x14ac:dyDescent="0.2">
      <c r="A308">
        <v>307</v>
      </c>
      <c r="B308" t="s">
        <v>17</v>
      </c>
      <c r="C308" t="s">
        <v>512</v>
      </c>
      <c r="D308" t="s">
        <v>341</v>
      </c>
      <c r="E308">
        <v>19240303303</v>
      </c>
      <c r="F308" t="s">
        <v>37</v>
      </c>
      <c r="G308" t="s">
        <v>24</v>
      </c>
      <c r="H308" t="s">
        <v>42</v>
      </c>
      <c r="I308">
        <v>22</v>
      </c>
      <c r="J308">
        <v>40</v>
      </c>
      <c r="K308">
        <v>62</v>
      </c>
      <c r="L308">
        <v>40</v>
      </c>
      <c r="M308">
        <v>9</v>
      </c>
      <c r="N308">
        <v>6</v>
      </c>
      <c r="O308">
        <v>7</v>
      </c>
      <c r="P308">
        <v>6</v>
      </c>
      <c r="Q308">
        <v>0</v>
      </c>
      <c r="R308">
        <v>3</v>
      </c>
      <c r="S308">
        <v>3</v>
      </c>
      <c r="T308">
        <f t="shared" si="9"/>
        <v>0</v>
      </c>
    </row>
    <row r="309" spans="1:20" x14ac:dyDescent="0.2">
      <c r="A309">
        <v>308</v>
      </c>
      <c r="B309" t="s">
        <v>17</v>
      </c>
      <c r="C309" t="s">
        <v>512</v>
      </c>
      <c r="D309" t="s">
        <v>342</v>
      </c>
      <c r="E309">
        <v>19240304402</v>
      </c>
      <c r="F309" t="s">
        <v>35</v>
      </c>
      <c r="G309" t="s">
        <v>24</v>
      </c>
      <c r="H309" t="s">
        <v>44</v>
      </c>
      <c r="I309">
        <v>32</v>
      </c>
      <c r="J309">
        <v>39</v>
      </c>
      <c r="K309">
        <v>71</v>
      </c>
      <c r="L309">
        <v>52</v>
      </c>
      <c r="M309">
        <v>5</v>
      </c>
      <c r="N309">
        <v>9</v>
      </c>
      <c r="O309">
        <v>5</v>
      </c>
      <c r="P309">
        <v>7</v>
      </c>
      <c r="Q309">
        <v>0</v>
      </c>
      <c r="R309">
        <v>1</v>
      </c>
      <c r="S309">
        <v>1</v>
      </c>
      <c r="T309">
        <f t="shared" si="9"/>
        <v>0</v>
      </c>
    </row>
    <row r="310" spans="1:20" x14ac:dyDescent="0.2">
      <c r="A310">
        <v>309</v>
      </c>
      <c r="B310" t="s">
        <v>17</v>
      </c>
      <c r="C310" t="s">
        <v>512</v>
      </c>
      <c r="D310" t="s">
        <v>343</v>
      </c>
      <c r="E310">
        <v>19240306603</v>
      </c>
      <c r="F310" t="s">
        <v>37</v>
      </c>
      <c r="G310" t="s">
        <v>23</v>
      </c>
      <c r="H310" t="s">
        <v>43</v>
      </c>
      <c r="I310">
        <v>36</v>
      </c>
      <c r="J310">
        <v>27</v>
      </c>
      <c r="K310">
        <v>63</v>
      </c>
      <c r="L310">
        <v>38</v>
      </c>
      <c r="M310">
        <v>6</v>
      </c>
      <c r="N310">
        <v>9</v>
      </c>
      <c r="O310">
        <v>10</v>
      </c>
      <c r="P310">
        <v>5</v>
      </c>
      <c r="Q310">
        <v>9</v>
      </c>
      <c r="R310">
        <v>6</v>
      </c>
      <c r="S310">
        <v>15</v>
      </c>
      <c r="T310">
        <f t="shared" si="9"/>
        <v>0</v>
      </c>
    </row>
    <row r="311" spans="1:20" x14ac:dyDescent="0.2">
      <c r="A311">
        <v>310</v>
      </c>
      <c r="B311" t="s">
        <v>17</v>
      </c>
      <c r="C311" t="s">
        <v>510</v>
      </c>
      <c r="D311" t="s">
        <v>344</v>
      </c>
      <c r="E311">
        <v>19240207201</v>
      </c>
      <c r="F311" t="s">
        <v>36</v>
      </c>
      <c r="G311" t="s">
        <v>40</v>
      </c>
      <c r="H311" t="s">
        <v>42</v>
      </c>
      <c r="I311">
        <v>32</v>
      </c>
      <c r="J311">
        <v>27</v>
      </c>
      <c r="K311">
        <v>59</v>
      </c>
      <c r="L311">
        <v>32</v>
      </c>
      <c r="M311">
        <v>8</v>
      </c>
      <c r="N311">
        <v>10</v>
      </c>
      <c r="O311">
        <v>9</v>
      </c>
      <c r="P311">
        <v>9</v>
      </c>
      <c r="Q311">
        <v>4</v>
      </c>
      <c r="R311">
        <v>0</v>
      </c>
      <c r="S311">
        <v>4</v>
      </c>
      <c r="T311">
        <f t="shared" si="9"/>
        <v>1</v>
      </c>
    </row>
    <row r="312" spans="1:20" x14ac:dyDescent="0.2">
      <c r="A312">
        <v>311</v>
      </c>
      <c r="B312" t="s">
        <v>17</v>
      </c>
      <c r="C312" t="s">
        <v>512</v>
      </c>
      <c r="D312" t="s">
        <v>345</v>
      </c>
      <c r="E312">
        <v>19240307001</v>
      </c>
      <c r="F312" t="s">
        <v>35</v>
      </c>
      <c r="G312" t="s">
        <v>23</v>
      </c>
      <c r="H312" t="s">
        <v>41</v>
      </c>
      <c r="I312">
        <v>35</v>
      </c>
      <c r="J312">
        <v>31</v>
      </c>
      <c r="K312">
        <v>66</v>
      </c>
      <c r="L312">
        <v>41</v>
      </c>
      <c r="M312">
        <v>9</v>
      </c>
      <c r="N312">
        <v>6</v>
      </c>
      <c r="O312">
        <v>10</v>
      </c>
      <c r="P312">
        <v>8</v>
      </c>
      <c r="Q312">
        <v>10</v>
      </c>
      <c r="R312">
        <v>0</v>
      </c>
      <c r="S312">
        <v>10</v>
      </c>
      <c r="T312">
        <f t="shared" si="9"/>
        <v>0</v>
      </c>
    </row>
    <row r="313" spans="1:20" x14ac:dyDescent="0.2">
      <c r="A313">
        <v>312</v>
      </c>
      <c r="B313" t="s">
        <v>17</v>
      </c>
      <c r="C313" t="s">
        <v>512</v>
      </c>
      <c r="D313" t="s">
        <v>346</v>
      </c>
      <c r="E313">
        <v>19240302806</v>
      </c>
      <c r="F313" t="s">
        <v>36</v>
      </c>
      <c r="G313" t="s">
        <v>38</v>
      </c>
      <c r="H313" t="s">
        <v>42</v>
      </c>
      <c r="I313">
        <v>32</v>
      </c>
      <c r="J313">
        <v>32</v>
      </c>
      <c r="K313">
        <v>64</v>
      </c>
      <c r="L313">
        <v>36</v>
      </c>
      <c r="M313">
        <v>10</v>
      </c>
      <c r="N313">
        <v>8</v>
      </c>
      <c r="O313">
        <v>10</v>
      </c>
      <c r="P313">
        <v>9</v>
      </c>
      <c r="Q313">
        <v>5</v>
      </c>
      <c r="R313">
        <v>9</v>
      </c>
      <c r="S313">
        <v>14</v>
      </c>
      <c r="T313">
        <f t="shared" si="9"/>
        <v>1</v>
      </c>
    </row>
    <row r="314" spans="1:20" x14ac:dyDescent="0.2">
      <c r="A314">
        <v>313</v>
      </c>
      <c r="B314" t="s">
        <v>17</v>
      </c>
      <c r="C314" t="s">
        <v>512</v>
      </c>
      <c r="D314" t="s">
        <v>347</v>
      </c>
      <c r="E314">
        <v>19240304901</v>
      </c>
      <c r="F314" t="s">
        <v>36</v>
      </c>
      <c r="G314" t="s">
        <v>39</v>
      </c>
      <c r="H314" t="s">
        <v>41</v>
      </c>
      <c r="I314">
        <v>36</v>
      </c>
      <c r="J314">
        <v>29</v>
      </c>
      <c r="K314">
        <v>65</v>
      </c>
      <c r="L314">
        <v>42</v>
      </c>
      <c r="M314">
        <v>8</v>
      </c>
      <c r="N314">
        <v>10</v>
      </c>
      <c r="O314">
        <v>5</v>
      </c>
      <c r="P314">
        <v>7</v>
      </c>
      <c r="Q314">
        <v>5</v>
      </c>
      <c r="R314">
        <v>5</v>
      </c>
      <c r="S314">
        <v>10</v>
      </c>
      <c r="T314">
        <f t="shared" si="9"/>
        <v>0</v>
      </c>
    </row>
    <row r="315" spans="1:20" x14ac:dyDescent="0.2">
      <c r="A315">
        <v>314</v>
      </c>
      <c r="B315" t="s">
        <v>17</v>
      </c>
      <c r="C315" t="s">
        <v>512</v>
      </c>
      <c r="D315" t="s">
        <v>348</v>
      </c>
      <c r="E315">
        <v>19240301401</v>
      </c>
      <c r="F315" t="s">
        <v>36</v>
      </c>
      <c r="G315" t="s">
        <v>24</v>
      </c>
      <c r="H315" t="s">
        <v>42</v>
      </c>
      <c r="I315">
        <v>37</v>
      </c>
      <c r="J315">
        <v>38</v>
      </c>
      <c r="K315">
        <v>75</v>
      </c>
      <c r="L315">
        <v>53</v>
      </c>
      <c r="M315">
        <v>7</v>
      </c>
      <c r="N315">
        <v>9</v>
      </c>
      <c r="O315">
        <v>6</v>
      </c>
      <c r="P315">
        <v>7</v>
      </c>
      <c r="Q315">
        <v>6</v>
      </c>
      <c r="R315">
        <v>0</v>
      </c>
      <c r="S315">
        <v>6</v>
      </c>
      <c r="T315">
        <f t="shared" si="9"/>
        <v>0</v>
      </c>
    </row>
    <row r="316" spans="1:20" x14ac:dyDescent="0.2">
      <c r="A316">
        <v>315</v>
      </c>
      <c r="B316" t="s">
        <v>17</v>
      </c>
      <c r="C316" t="s">
        <v>512</v>
      </c>
      <c r="D316" t="s">
        <v>349</v>
      </c>
      <c r="E316">
        <v>19240302810</v>
      </c>
      <c r="F316" t="s">
        <v>35</v>
      </c>
      <c r="G316" t="s">
        <v>38</v>
      </c>
      <c r="H316" t="s">
        <v>43</v>
      </c>
      <c r="I316">
        <v>23</v>
      </c>
      <c r="J316">
        <v>23</v>
      </c>
      <c r="K316">
        <v>46</v>
      </c>
      <c r="L316">
        <v>22</v>
      </c>
      <c r="M316">
        <v>8</v>
      </c>
      <c r="N316">
        <v>10</v>
      </c>
      <c r="O316">
        <v>6</v>
      </c>
      <c r="P316">
        <v>5</v>
      </c>
      <c r="Q316">
        <v>6</v>
      </c>
      <c r="R316">
        <v>8</v>
      </c>
      <c r="S316">
        <v>14</v>
      </c>
      <c r="T316">
        <f t="shared" si="9"/>
        <v>1</v>
      </c>
    </row>
    <row r="317" spans="1:20" x14ac:dyDescent="0.2">
      <c r="A317">
        <v>316</v>
      </c>
      <c r="B317" t="s">
        <v>17</v>
      </c>
      <c r="C317" t="s">
        <v>512</v>
      </c>
      <c r="D317" t="s">
        <v>350</v>
      </c>
      <c r="E317">
        <v>19240302801</v>
      </c>
      <c r="F317" t="s">
        <v>36</v>
      </c>
      <c r="G317" t="s">
        <v>39</v>
      </c>
      <c r="H317" t="s">
        <v>42</v>
      </c>
      <c r="I317">
        <v>35</v>
      </c>
      <c r="J317">
        <v>39</v>
      </c>
      <c r="K317">
        <v>74</v>
      </c>
      <c r="L317">
        <v>52</v>
      </c>
      <c r="M317">
        <v>10</v>
      </c>
      <c r="N317">
        <v>5</v>
      </c>
      <c r="O317">
        <v>7</v>
      </c>
      <c r="P317">
        <v>6</v>
      </c>
      <c r="Q317">
        <v>7</v>
      </c>
      <c r="R317">
        <v>5</v>
      </c>
      <c r="S317">
        <v>12</v>
      </c>
      <c r="T317">
        <f t="shared" si="9"/>
        <v>0</v>
      </c>
    </row>
    <row r="318" spans="1:20" x14ac:dyDescent="0.2">
      <c r="A318">
        <v>317</v>
      </c>
      <c r="B318" t="s">
        <v>17</v>
      </c>
      <c r="C318" t="s">
        <v>512</v>
      </c>
      <c r="D318" t="s">
        <v>351</v>
      </c>
      <c r="E318">
        <v>19240307101</v>
      </c>
      <c r="F318" t="s">
        <v>37</v>
      </c>
      <c r="G318" t="s">
        <v>24</v>
      </c>
      <c r="H318" t="s">
        <v>42</v>
      </c>
      <c r="I318">
        <v>40</v>
      </c>
      <c r="J318">
        <v>25</v>
      </c>
      <c r="K318">
        <v>65</v>
      </c>
      <c r="L318">
        <v>41</v>
      </c>
      <c r="M318">
        <v>10</v>
      </c>
      <c r="N318">
        <v>5</v>
      </c>
      <c r="O318">
        <v>9</v>
      </c>
      <c r="P318">
        <v>5</v>
      </c>
      <c r="Q318">
        <v>10</v>
      </c>
      <c r="R318">
        <v>5</v>
      </c>
      <c r="S318">
        <v>15</v>
      </c>
      <c r="T318">
        <f t="shared" si="9"/>
        <v>0</v>
      </c>
    </row>
    <row r="319" spans="1:20" x14ac:dyDescent="0.2">
      <c r="A319">
        <v>318</v>
      </c>
      <c r="B319" t="s">
        <v>17</v>
      </c>
      <c r="C319" t="s">
        <v>512</v>
      </c>
      <c r="D319" t="s">
        <v>352</v>
      </c>
      <c r="E319">
        <v>19240305504</v>
      </c>
      <c r="F319" t="s">
        <v>35</v>
      </c>
      <c r="G319" t="s">
        <v>24</v>
      </c>
      <c r="H319" t="s">
        <v>44</v>
      </c>
      <c r="I319">
        <v>22</v>
      </c>
      <c r="J319">
        <v>28</v>
      </c>
      <c r="K319">
        <v>50</v>
      </c>
      <c r="L319">
        <v>23</v>
      </c>
      <c r="M319">
        <v>10</v>
      </c>
      <c r="N319">
        <v>10</v>
      </c>
      <c r="O319">
        <v>7</v>
      </c>
      <c r="P319">
        <v>5</v>
      </c>
      <c r="Q319">
        <v>8</v>
      </c>
      <c r="R319">
        <v>1</v>
      </c>
      <c r="S319">
        <v>9</v>
      </c>
      <c r="T319">
        <f t="shared" si="9"/>
        <v>1</v>
      </c>
    </row>
    <row r="320" spans="1:20" x14ac:dyDescent="0.2">
      <c r="A320">
        <v>319</v>
      </c>
      <c r="B320" t="s">
        <v>17</v>
      </c>
      <c r="C320" t="s">
        <v>512</v>
      </c>
      <c r="D320" t="s">
        <v>353</v>
      </c>
      <c r="E320">
        <v>19240305402</v>
      </c>
      <c r="F320" t="s">
        <v>37</v>
      </c>
      <c r="G320" t="s">
        <v>23</v>
      </c>
      <c r="H320" t="s">
        <v>43</v>
      </c>
      <c r="I320">
        <v>30</v>
      </c>
      <c r="J320">
        <v>37</v>
      </c>
      <c r="K320">
        <v>67</v>
      </c>
      <c r="L320">
        <v>45</v>
      </c>
      <c r="M320">
        <v>8</v>
      </c>
      <c r="N320">
        <v>9</v>
      </c>
      <c r="O320">
        <v>5</v>
      </c>
      <c r="P320">
        <v>5</v>
      </c>
      <c r="Q320">
        <v>0</v>
      </c>
      <c r="R320">
        <v>8</v>
      </c>
      <c r="S320">
        <v>8</v>
      </c>
      <c r="T320">
        <f t="shared" si="9"/>
        <v>0</v>
      </c>
    </row>
    <row r="321" spans="1:20" x14ac:dyDescent="0.2">
      <c r="A321">
        <v>320</v>
      </c>
      <c r="B321" t="s">
        <v>17</v>
      </c>
      <c r="C321" t="s">
        <v>512</v>
      </c>
      <c r="D321" t="s">
        <v>354</v>
      </c>
      <c r="E321">
        <v>19240303204</v>
      </c>
      <c r="F321" t="s">
        <v>36</v>
      </c>
      <c r="G321" t="s">
        <v>40</v>
      </c>
      <c r="H321" t="s">
        <v>42</v>
      </c>
      <c r="I321">
        <v>24</v>
      </c>
      <c r="J321">
        <v>24</v>
      </c>
      <c r="K321">
        <v>48</v>
      </c>
      <c r="L321">
        <v>28</v>
      </c>
      <c r="M321">
        <v>7</v>
      </c>
      <c r="N321">
        <v>6</v>
      </c>
      <c r="O321">
        <v>7</v>
      </c>
      <c r="P321">
        <v>6</v>
      </c>
      <c r="Q321">
        <v>2</v>
      </c>
      <c r="R321">
        <v>6</v>
      </c>
      <c r="S321">
        <v>8</v>
      </c>
      <c r="T321">
        <f t="shared" ref="T321:T326" si="10">IF(SUM(M321:P321) &gt; L321, 1, 0)</f>
        <v>0</v>
      </c>
    </row>
    <row r="322" spans="1:20" x14ac:dyDescent="0.2">
      <c r="A322">
        <v>321</v>
      </c>
      <c r="B322" t="s">
        <v>17</v>
      </c>
      <c r="C322" t="s">
        <v>512</v>
      </c>
      <c r="D322" t="s">
        <v>355</v>
      </c>
      <c r="E322">
        <v>19240300301</v>
      </c>
      <c r="F322" t="s">
        <v>35</v>
      </c>
      <c r="G322" t="s">
        <v>23</v>
      </c>
      <c r="H322" t="s">
        <v>41</v>
      </c>
      <c r="I322">
        <v>40</v>
      </c>
      <c r="J322">
        <v>32</v>
      </c>
      <c r="K322">
        <v>72</v>
      </c>
      <c r="L322">
        <v>47</v>
      </c>
      <c r="M322">
        <v>9</v>
      </c>
      <c r="N322">
        <v>10</v>
      </c>
      <c r="O322">
        <v>6</v>
      </c>
      <c r="P322">
        <v>10</v>
      </c>
      <c r="Q322">
        <v>3</v>
      </c>
      <c r="R322">
        <v>4</v>
      </c>
      <c r="S322">
        <v>7</v>
      </c>
      <c r="T322">
        <f t="shared" si="10"/>
        <v>0</v>
      </c>
    </row>
    <row r="323" spans="1:20" x14ac:dyDescent="0.2">
      <c r="A323">
        <v>322</v>
      </c>
      <c r="B323" t="s">
        <v>17</v>
      </c>
      <c r="C323" t="s">
        <v>512</v>
      </c>
      <c r="D323" t="s">
        <v>356</v>
      </c>
      <c r="E323">
        <v>19240301402</v>
      </c>
      <c r="F323" t="s">
        <v>36</v>
      </c>
      <c r="G323" t="s">
        <v>38</v>
      </c>
      <c r="H323" t="s">
        <v>42</v>
      </c>
      <c r="I323">
        <v>24</v>
      </c>
      <c r="J323">
        <v>36</v>
      </c>
      <c r="K323">
        <v>60</v>
      </c>
      <c r="L323">
        <v>37</v>
      </c>
      <c r="M323">
        <v>7</v>
      </c>
      <c r="N323">
        <v>9</v>
      </c>
      <c r="O323">
        <v>7</v>
      </c>
      <c r="P323">
        <v>5</v>
      </c>
      <c r="Q323">
        <v>7</v>
      </c>
      <c r="R323">
        <v>10</v>
      </c>
      <c r="S323">
        <v>17</v>
      </c>
      <c r="T323">
        <f t="shared" si="10"/>
        <v>0</v>
      </c>
    </row>
    <row r="324" spans="1:20" x14ac:dyDescent="0.2">
      <c r="A324">
        <v>323</v>
      </c>
      <c r="B324" t="s">
        <v>17</v>
      </c>
      <c r="C324" t="s">
        <v>512</v>
      </c>
      <c r="D324" t="s">
        <v>357</v>
      </c>
      <c r="E324">
        <v>19240302301</v>
      </c>
      <c r="F324" t="s">
        <v>36</v>
      </c>
      <c r="G324" t="s">
        <v>39</v>
      </c>
      <c r="H324" t="s">
        <v>41</v>
      </c>
      <c r="I324">
        <v>28</v>
      </c>
      <c r="J324">
        <v>20</v>
      </c>
      <c r="K324">
        <v>48</v>
      </c>
      <c r="L324">
        <v>29</v>
      </c>
      <c r="M324">
        <v>5</v>
      </c>
      <c r="N324">
        <v>6</v>
      </c>
      <c r="O324">
        <v>8</v>
      </c>
      <c r="P324">
        <v>10</v>
      </c>
      <c r="Q324">
        <v>0</v>
      </c>
      <c r="R324">
        <v>2</v>
      </c>
      <c r="S324">
        <v>2</v>
      </c>
      <c r="T324">
        <f t="shared" si="10"/>
        <v>0</v>
      </c>
    </row>
    <row r="325" spans="1:20" x14ac:dyDescent="0.2">
      <c r="A325">
        <v>324</v>
      </c>
      <c r="B325" t="s">
        <v>17</v>
      </c>
      <c r="C325" t="s">
        <v>512</v>
      </c>
      <c r="D325" t="s">
        <v>358</v>
      </c>
      <c r="E325">
        <v>19240302302</v>
      </c>
      <c r="F325" t="s">
        <v>36</v>
      </c>
      <c r="G325" t="s">
        <v>24</v>
      </c>
      <c r="H325" t="s">
        <v>42</v>
      </c>
      <c r="I325">
        <v>28</v>
      </c>
      <c r="J325">
        <v>28</v>
      </c>
      <c r="K325">
        <v>56</v>
      </c>
      <c r="L325">
        <v>31</v>
      </c>
      <c r="M325">
        <v>8</v>
      </c>
      <c r="N325">
        <v>10</v>
      </c>
      <c r="O325">
        <v>7</v>
      </c>
      <c r="P325">
        <v>10</v>
      </c>
      <c r="Q325">
        <v>5</v>
      </c>
      <c r="R325">
        <v>8</v>
      </c>
      <c r="S325">
        <v>13</v>
      </c>
      <c r="T325">
        <f t="shared" si="10"/>
        <v>1</v>
      </c>
    </row>
    <row r="326" spans="1:20" x14ac:dyDescent="0.2">
      <c r="A326">
        <v>325</v>
      </c>
      <c r="B326" t="s">
        <v>17</v>
      </c>
      <c r="C326" t="s">
        <v>512</v>
      </c>
      <c r="D326" t="s">
        <v>359</v>
      </c>
      <c r="E326">
        <v>19240301203</v>
      </c>
      <c r="F326" t="s">
        <v>35</v>
      </c>
      <c r="G326" t="s">
        <v>38</v>
      </c>
      <c r="H326" t="s">
        <v>43</v>
      </c>
      <c r="I326">
        <v>33</v>
      </c>
      <c r="J326">
        <v>39</v>
      </c>
      <c r="K326">
        <v>72</v>
      </c>
      <c r="L326">
        <v>49</v>
      </c>
      <c r="M326">
        <v>8</v>
      </c>
      <c r="N326">
        <v>9</v>
      </c>
      <c r="O326">
        <v>6</v>
      </c>
      <c r="P326">
        <v>7</v>
      </c>
      <c r="Q326">
        <v>5</v>
      </c>
      <c r="R326">
        <v>4</v>
      </c>
      <c r="S326">
        <v>9</v>
      </c>
      <c r="T326">
        <f t="shared" si="10"/>
        <v>0</v>
      </c>
    </row>
    <row r="327" spans="1:20" x14ac:dyDescent="0.2">
      <c r="A327">
        <v>326</v>
      </c>
      <c r="B327" t="s">
        <v>17</v>
      </c>
      <c r="C327" t="s">
        <v>512</v>
      </c>
      <c r="D327" t="s">
        <v>360</v>
      </c>
      <c r="E327">
        <v>19240305101</v>
      </c>
      <c r="F327" t="s">
        <v>36</v>
      </c>
      <c r="G327" t="s">
        <v>39</v>
      </c>
      <c r="H327" t="s">
        <v>42</v>
      </c>
      <c r="I327">
        <v>37</v>
      </c>
      <c r="J327">
        <v>35</v>
      </c>
      <c r="K327">
        <v>72</v>
      </c>
      <c r="L327">
        <v>51</v>
      </c>
      <c r="M327">
        <v>7</v>
      </c>
      <c r="N327">
        <v>6</v>
      </c>
      <c r="O327">
        <v>8</v>
      </c>
      <c r="P327">
        <v>9</v>
      </c>
      <c r="Q327">
        <v>7</v>
      </c>
      <c r="R327">
        <v>7</v>
      </c>
      <c r="S327">
        <v>14</v>
      </c>
      <c r="T327">
        <f t="shared" ref="T327:T379" si="11">IF(SUM(M327:P327) &gt; L327, 1, 0)</f>
        <v>0</v>
      </c>
    </row>
    <row r="328" spans="1:20" x14ac:dyDescent="0.2">
      <c r="A328">
        <v>327</v>
      </c>
      <c r="B328" t="s">
        <v>17</v>
      </c>
      <c r="C328" t="s">
        <v>512</v>
      </c>
      <c r="D328" t="s">
        <v>361</v>
      </c>
      <c r="E328">
        <v>19240302204</v>
      </c>
      <c r="F328" t="s">
        <v>37</v>
      </c>
      <c r="G328" t="s">
        <v>24</v>
      </c>
      <c r="H328" t="s">
        <v>42</v>
      </c>
      <c r="I328">
        <v>30</v>
      </c>
      <c r="J328">
        <v>30</v>
      </c>
      <c r="K328">
        <v>60</v>
      </c>
      <c r="L328">
        <v>34</v>
      </c>
      <c r="M328">
        <v>9</v>
      </c>
      <c r="N328">
        <v>7</v>
      </c>
      <c r="O328">
        <v>10</v>
      </c>
      <c r="P328">
        <v>9</v>
      </c>
      <c r="Q328">
        <v>4</v>
      </c>
      <c r="R328">
        <v>1</v>
      </c>
      <c r="S328">
        <v>5</v>
      </c>
      <c r="T328">
        <f t="shared" si="11"/>
        <v>1</v>
      </c>
    </row>
    <row r="329" spans="1:20" x14ac:dyDescent="0.2">
      <c r="A329">
        <v>328</v>
      </c>
      <c r="B329" t="s">
        <v>17</v>
      </c>
      <c r="C329" t="s">
        <v>512</v>
      </c>
      <c r="D329" t="s">
        <v>362</v>
      </c>
      <c r="E329">
        <v>19240301201</v>
      </c>
      <c r="F329" t="s">
        <v>35</v>
      </c>
      <c r="G329" t="s">
        <v>24</v>
      </c>
      <c r="H329" t="s">
        <v>44</v>
      </c>
      <c r="I329">
        <v>23</v>
      </c>
      <c r="J329">
        <v>40</v>
      </c>
      <c r="K329">
        <v>63</v>
      </c>
      <c r="L329">
        <v>40</v>
      </c>
      <c r="M329">
        <v>10</v>
      </c>
      <c r="N329">
        <v>5</v>
      </c>
      <c r="O329">
        <v>8</v>
      </c>
      <c r="P329">
        <v>8</v>
      </c>
      <c r="Q329">
        <v>1</v>
      </c>
      <c r="R329">
        <v>0</v>
      </c>
      <c r="S329">
        <v>1</v>
      </c>
      <c r="T329">
        <f t="shared" si="11"/>
        <v>0</v>
      </c>
    </row>
    <row r="330" spans="1:20" x14ac:dyDescent="0.2">
      <c r="A330">
        <v>329</v>
      </c>
      <c r="B330" t="s">
        <v>17</v>
      </c>
      <c r="C330" t="s">
        <v>512</v>
      </c>
      <c r="D330" t="s">
        <v>363</v>
      </c>
      <c r="E330">
        <v>19240307201</v>
      </c>
      <c r="F330" t="s">
        <v>37</v>
      </c>
      <c r="G330" t="s">
        <v>23</v>
      </c>
      <c r="H330" t="s">
        <v>43</v>
      </c>
      <c r="I330">
        <v>20</v>
      </c>
      <c r="J330">
        <v>23</v>
      </c>
      <c r="K330">
        <v>43</v>
      </c>
      <c r="L330">
        <v>21</v>
      </c>
      <c r="M330">
        <v>8</v>
      </c>
      <c r="N330">
        <v>8</v>
      </c>
      <c r="O330">
        <v>6</v>
      </c>
      <c r="P330">
        <v>5</v>
      </c>
      <c r="Q330">
        <v>2</v>
      </c>
      <c r="R330">
        <v>6</v>
      </c>
      <c r="S330">
        <v>8</v>
      </c>
      <c r="T330">
        <f t="shared" si="11"/>
        <v>1</v>
      </c>
    </row>
    <row r="331" spans="1:20" x14ac:dyDescent="0.2">
      <c r="A331">
        <v>330</v>
      </c>
      <c r="B331" t="s">
        <v>17</v>
      </c>
      <c r="C331" t="s">
        <v>512</v>
      </c>
      <c r="D331" t="s">
        <v>364</v>
      </c>
      <c r="E331">
        <v>19240304805</v>
      </c>
      <c r="F331" t="s">
        <v>36</v>
      </c>
      <c r="G331" t="s">
        <v>40</v>
      </c>
      <c r="H331" t="s">
        <v>42</v>
      </c>
      <c r="I331">
        <v>37</v>
      </c>
      <c r="J331">
        <v>33</v>
      </c>
      <c r="K331">
        <v>70</v>
      </c>
      <c r="L331">
        <v>46</v>
      </c>
      <c r="M331">
        <v>9</v>
      </c>
      <c r="N331">
        <v>7</v>
      </c>
      <c r="O331">
        <v>8</v>
      </c>
      <c r="P331">
        <v>7</v>
      </c>
      <c r="Q331">
        <v>10</v>
      </c>
      <c r="R331">
        <v>0</v>
      </c>
      <c r="S331">
        <v>10</v>
      </c>
      <c r="T331">
        <f t="shared" si="11"/>
        <v>0</v>
      </c>
    </row>
    <row r="332" spans="1:20" x14ac:dyDescent="0.2">
      <c r="A332">
        <v>331</v>
      </c>
      <c r="B332" t="s">
        <v>17</v>
      </c>
      <c r="C332" t="s">
        <v>510</v>
      </c>
      <c r="D332" t="s">
        <v>365</v>
      </c>
      <c r="E332">
        <v>19240206703</v>
      </c>
      <c r="F332" t="s">
        <v>35</v>
      </c>
      <c r="G332" t="s">
        <v>23</v>
      </c>
      <c r="H332" t="s">
        <v>41</v>
      </c>
      <c r="I332">
        <v>37</v>
      </c>
      <c r="J332">
        <v>21</v>
      </c>
      <c r="K332">
        <v>58</v>
      </c>
      <c r="L332">
        <v>33</v>
      </c>
      <c r="M332">
        <v>10</v>
      </c>
      <c r="N332">
        <v>9</v>
      </c>
      <c r="O332">
        <v>6</v>
      </c>
      <c r="P332">
        <v>5</v>
      </c>
      <c r="Q332">
        <v>5</v>
      </c>
      <c r="R332">
        <v>4</v>
      </c>
      <c r="S332">
        <v>9</v>
      </c>
      <c r="T332">
        <f t="shared" si="11"/>
        <v>0</v>
      </c>
    </row>
    <row r="333" spans="1:20" x14ac:dyDescent="0.2">
      <c r="A333">
        <v>332</v>
      </c>
      <c r="B333" t="s">
        <v>17</v>
      </c>
      <c r="C333" t="s">
        <v>512</v>
      </c>
      <c r="D333" t="s">
        <v>366</v>
      </c>
      <c r="E333">
        <v>19240302102</v>
      </c>
      <c r="F333" t="s">
        <v>36</v>
      </c>
      <c r="G333" t="s">
        <v>38</v>
      </c>
      <c r="H333" t="s">
        <v>42</v>
      </c>
      <c r="I333">
        <v>20</v>
      </c>
      <c r="J333">
        <v>30</v>
      </c>
      <c r="K333">
        <v>50</v>
      </c>
      <c r="L333">
        <v>30</v>
      </c>
      <c r="M333">
        <v>5</v>
      </c>
      <c r="N333">
        <v>8</v>
      </c>
      <c r="O333">
        <v>7</v>
      </c>
      <c r="P333">
        <v>9</v>
      </c>
      <c r="Q333">
        <v>6</v>
      </c>
      <c r="R333">
        <v>3</v>
      </c>
      <c r="S333">
        <v>9</v>
      </c>
      <c r="T333">
        <f t="shared" si="11"/>
        <v>0</v>
      </c>
    </row>
    <row r="334" spans="1:20" x14ac:dyDescent="0.2">
      <c r="A334">
        <v>333</v>
      </c>
      <c r="B334" t="s">
        <v>17</v>
      </c>
      <c r="C334" t="s">
        <v>512</v>
      </c>
      <c r="D334" t="s">
        <v>367</v>
      </c>
      <c r="E334">
        <v>19240303502</v>
      </c>
      <c r="F334" t="s">
        <v>36</v>
      </c>
      <c r="G334" t="s">
        <v>39</v>
      </c>
      <c r="H334" t="s">
        <v>41</v>
      </c>
      <c r="I334">
        <v>20</v>
      </c>
      <c r="J334">
        <v>31</v>
      </c>
      <c r="K334">
        <v>51</v>
      </c>
      <c r="L334">
        <v>26</v>
      </c>
      <c r="M334">
        <v>6</v>
      </c>
      <c r="N334">
        <v>9</v>
      </c>
      <c r="O334">
        <v>10</v>
      </c>
      <c r="P334">
        <v>7</v>
      </c>
      <c r="Q334">
        <v>9</v>
      </c>
      <c r="R334">
        <v>3</v>
      </c>
      <c r="S334">
        <v>12</v>
      </c>
      <c r="T334">
        <f t="shared" si="11"/>
        <v>1</v>
      </c>
    </row>
    <row r="335" spans="1:20" x14ac:dyDescent="0.2">
      <c r="A335">
        <v>334</v>
      </c>
      <c r="B335" t="s">
        <v>17</v>
      </c>
      <c r="C335" t="s">
        <v>512</v>
      </c>
      <c r="D335" t="s">
        <v>368</v>
      </c>
      <c r="E335">
        <v>19240306103</v>
      </c>
      <c r="F335" t="s">
        <v>36</v>
      </c>
      <c r="G335" t="s">
        <v>24</v>
      </c>
      <c r="H335" t="s">
        <v>42</v>
      </c>
      <c r="I335">
        <v>29</v>
      </c>
      <c r="J335">
        <v>38</v>
      </c>
      <c r="K335">
        <v>67</v>
      </c>
      <c r="L335">
        <v>48</v>
      </c>
      <c r="M335">
        <v>5</v>
      </c>
      <c r="N335">
        <v>6</v>
      </c>
      <c r="O335">
        <v>8</v>
      </c>
      <c r="P335">
        <v>5</v>
      </c>
      <c r="Q335">
        <v>0</v>
      </c>
      <c r="R335">
        <v>1</v>
      </c>
      <c r="S335">
        <v>1</v>
      </c>
      <c r="T335">
        <f t="shared" si="11"/>
        <v>0</v>
      </c>
    </row>
    <row r="336" spans="1:20" x14ac:dyDescent="0.2">
      <c r="A336">
        <v>335</v>
      </c>
      <c r="B336" t="s">
        <v>17</v>
      </c>
      <c r="C336" t="s">
        <v>512</v>
      </c>
      <c r="D336" t="s">
        <v>369</v>
      </c>
      <c r="E336">
        <v>19240300602</v>
      </c>
      <c r="F336" t="s">
        <v>35</v>
      </c>
      <c r="G336" t="s">
        <v>38</v>
      </c>
      <c r="H336" t="s">
        <v>43</v>
      </c>
      <c r="I336">
        <v>23</v>
      </c>
      <c r="J336">
        <v>22</v>
      </c>
      <c r="K336">
        <v>45</v>
      </c>
      <c r="L336">
        <v>25</v>
      </c>
      <c r="M336">
        <v>5</v>
      </c>
      <c r="N336">
        <v>10</v>
      </c>
      <c r="O336">
        <v>5</v>
      </c>
      <c r="P336">
        <v>7</v>
      </c>
      <c r="Q336">
        <v>2</v>
      </c>
      <c r="R336">
        <v>1</v>
      </c>
      <c r="S336">
        <v>3</v>
      </c>
      <c r="T336">
        <f t="shared" si="11"/>
        <v>1</v>
      </c>
    </row>
    <row r="337" spans="1:20" x14ac:dyDescent="0.2">
      <c r="A337">
        <v>336</v>
      </c>
      <c r="B337" t="s">
        <v>17</v>
      </c>
      <c r="C337" t="s">
        <v>512</v>
      </c>
      <c r="D337" t="s">
        <v>370</v>
      </c>
      <c r="E337">
        <v>19240301103</v>
      </c>
      <c r="F337" t="s">
        <v>36</v>
      </c>
      <c r="G337" t="s">
        <v>39</v>
      </c>
      <c r="H337" t="s">
        <v>42</v>
      </c>
      <c r="I337">
        <v>31</v>
      </c>
      <c r="J337">
        <v>34</v>
      </c>
      <c r="K337">
        <v>65</v>
      </c>
      <c r="L337">
        <v>42</v>
      </c>
      <c r="M337">
        <v>6</v>
      </c>
      <c r="N337">
        <v>7</v>
      </c>
      <c r="O337">
        <v>10</v>
      </c>
      <c r="P337">
        <v>7</v>
      </c>
      <c r="Q337">
        <v>3</v>
      </c>
      <c r="R337">
        <v>3</v>
      </c>
      <c r="S337">
        <v>6</v>
      </c>
      <c r="T337">
        <f t="shared" si="11"/>
        <v>0</v>
      </c>
    </row>
    <row r="338" spans="1:20" x14ac:dyDescent="0.2">
      <c r="A338">
        <v>337</v>
      </c>
      <c r="B338" t="s">
        <v>17</v>
      </c>
      <c r="C338" t="s">
        <v>512</v>
      </c>
      <c r="D338" t="s">
        <v>371</v>
      </c>
      <c r="E338">
        <v>19240303002</v>
      </c>
      <c r="F338" t="s">
        <v>37</v>
      </c>
      <c r="G338" t="s">
        <v>24</v>
      </c>
      <c r="H338" t="s">
        <v>42</v>
      </c>
      <c r="I338">
        <v>24</v>
      </c>
      <c r="J338">
        <v>38</v>
      </c>
      <c r="K338">
        <v>62</v>
      </c>
      <c r="L338">
        <v>36</v>
      </c>
      <c r="M338">
        <v>10</v>
      </c>
      <c r="N338">
        <v>7</v>
      </c>
      <c r="O338">
        <v>9</v>
      </c>
      <c r="P338">
        <v>7</v>
      </c>
      <c r="Q338">
        <v>10</v>
      </c>
      <c r="R338">
        <v>5</v>
      </c>
      <c r="S338">
        <v>15</v>
      </c>
      <c r="T338">
        <f t="shared" si="11"/>
        <v>0</v>
      </c>
    </row>
    <row r="339" spans="1:20" x14ac:dyDescent="0.2">
      <c r="A339">
        <v>338</v>
      </c>
      <c r="B339" t="s">
        <v>17</v>
      </c>
      <c r="C339" t="s">
        <v>512</v>
      </c>
      <c r="D339" t="s">
        <v>372</v>
      </c>
      <c r="E339">
        <v>19240302809</v>
      </c>
      <c r="F339" t="s">
        <v>35</v>
      </c>
      <c r="G339" t="s">
        <v>24</v>
      </c>
      <c r="H339" t="s">
        <v>44</v>
      </c>
      <c r="I339">
        <v>28</v>
      </c>
      <c r="J339">
        <v>21</v>
      </c>
      <c r="K339">
        <v>49</v>
      </c>
      <c r="L339">
        <v>25</v>
      </c>
      <c r="M339">
        <v>10</v>
      </c>
      <c r="N339">
        <v>6</v>
      </c>
      <c r="O339">
        <v>8</v>
      </c>
      <c r="P339">
        <v>10</v>
      </c>
      <c r="Q339">
        <v>8</v>
      </c>
      <c r="R339">
        <v>6</v>
      </c>
      <c r="S339">
        <v>14</v>
      </c>
      <c r="T339">
        <f t="shared" si="11"/>
        <v>1</v>
      </c>
    </row>
    <row r="340" spans="1:20" x14ac:dyDescent="0.2">
      <c r="A340">
        <v>339</v>
      </c>
      <c r="B340" t="s">
        <v>17</v>
      </c>
      <c r="C340" t="s">
        <v>512</v>
      </c>
      <c r="D340" t="s">
        <v>373</v>
      </c>
      <c r="E340">
        <v>19240304302</v>
      </c>
      <c r="F340" t="s">
        <v>37</v>
      </c>
      <c r="G340" t="s">
        <v>23</v>
      </c>
      <c r="H340" t="s">
        <v>43</v>
      </c>
      <c r="I340">
        <v>32</v>
      </c>
      <c r="J340">
        <v>32</v>
      </c>
      <c r="K340">
        <v>64</v>
      </c>
      <c r="L340">
        <v>48</v>
      </c>
      <c r="M340">
        <v>6</v>
      </c>
      <c r="N340">
        <v>5</v>
      </c>
      <c r="O340">
        <v>5</v>
      </c>
      <c r="P340">
        <v>5</v>
      </c>
      <c r="Q340">
        <v>7</v>
      </c>
      <c r="R340">
        <v>7</v>
      </c>
      <c r="S340">
        <v>14</v>
      </c>
      <c r="T340">
        <f t="shared" si="11"/>
        <v>0</v>
      </c>
    </row>
    <row r="341" spans="1:20" x14ac:dyDescent="0.2">
      <c r="A341">
        <v>340</v>
      </c>
      <c r="B341" t="s">
        <v>17</v>
      </c>
      <c r="C341" t="s">
        <v>512</v>
      </c>
      <c r="D341" t="s">
        <v>374</v>
      </c>
      <c r="E341">
        <v>19240305704</v>
      </c>
      <c r="F341" t="s">
        <v>36</v>
      </c>
      <c r="G341" t="s">
        <v>40</v>
      </c>
      <c r="H341" t="s">
        <v>42</v>
      </c>
      <c r="I341">
        <v>35</v>
      </c>
      <c r="J341">
        <v>29</v>
      </c>
      <c r="K341">
        <v>64</v>
      </c>
      <c r="L341">
        <v>45</v>
      </c>
      <c r="M341">
        <v>9</v>
      </c>
      <c r="N341">
        <v>5</v>
      </c>
      <c r="O341">
        <v>5</v>
      </c>
      <c r="P341">
        <v>5</v>
      </c>
      <c r="Q341">
        <v>4</v>
      </c>
      <c r="R341">
        <v>7</v>
      </c>
      <c r="S341">
        <v>11</v>
      </c>
      <c r="T341">
        <f t="shared" si="11"/>
        <v>0</v>
      </c>
    </row>
    <row r="342" spans="1:20" x14ac:dyDescent="0.2">
      <c r="A342">
        <v>341</v>
      </c>
      <c r="B342" t="s">
        <v>17</v>
      </c>
      <c r="C342" t="s">
        <v>512</v>
      </c>
      <c r="D342" t="s">
        <v>375</v>
      </c>
      <c r="E342">
        <v>19240307301</v>
      </c>
      <c r="F342" t="s">
        <v>35</v>
      </c>
      <c r="G342" t="s">
        <v>23</v>
      </c>
      <c r="H342" t="s">
        <v>41</v>
      </c>
      <c r="I342">
        <v>35</v>
      </c>
      <c r="J342">
        <v>28</v>
      </c>
      <c r="K342">
        <v>63</v>
      </c>
      <c r="L342">
        <v>41</v>
      </c>
      <c r="M342">
        <v>5</v>
      </c>
      <c r="N342">
        <v>8</v>
      </c>
      <c r="O342">
        <v>9</v>
      </c>
      <c r="P342">
        <v>10</v>
      </c>
      <c r="Q342">
        <v>6</v>
      </c>
      <c r="R342">
        <v>4</v>
      </c>
      <c r="S342">
        <v>10</v>
      </c>
      <c r="T342">
        <f t="shared" si="11"/>
        <v>0</v>
      </c>
    </row>
    <row r="343" spans="1:20" x14ac:dyDescent="0.2">
      <c r="A343">
        <v>342</v>
      </c>
      <c r="B343" t="s">
        <v>17</v>
      </c>
      <c r="C343" t="s">
        <v>512</v>
      </c>
      <c r="D343" t="s">
        <v>376</v>
      </c>
      <c r="E343">
        <v>19240304202</v>
      </c>
      <c r="F343" t="s">
        <v>36</v>
      </c>
      <c r="G343" t="s">
        <v>38</v>
      </c>
      <c r="H343" t="s">
        <v>42</v>
      </c>
      <c r="I343">
        <v>24</v>
      </c>
      <c r="J343">
        <v>31</v>
      </c>
      <c r="K343">
        <v>55</v>
      </c>
      <c r="L343">
        <v>33</v>
      </c>
      <c r="M343">
        <v>6</v>
      </c>
      <c r="N343">
        <v>6</v>
      </c>
      <c r="O343">
        <v>10</v>
      </c>
      <c r="P343">
        <v>5</v>
      </c>
      <c r="Q343">
        <v>4</v>
      </c>
      <c r="R343">
        <v>4</v>
      </c>
      <c r="S343">
        <v>8</v>
      </c>
      <c r="T343">
        <f t="shared" si="11"/>
        <v>0</v>
      </c>
    </row>
    <row r="344" spans="1:20" x14ac:dyDescent="0.2">
      <c r="A344">
        <v>343</v>
      </c>
      <c r="B344" t="s">
        <v>17</v>
      </c>
      <c r="C344" t="s">
        <v>510</v>
      </c>
      <c r="D344" t="s">
        <v>377</v>
      </c>
      <c r="E344">
        <v>19240206402</v>
      </c>
      <c r="F344" t="s">
        <v>36</v>
      </c>
      <c r="G344" t="s">
        <v>39</v>
      </c>
      <c r="H344" t="s">
        <v>41</v>
      </c>
      <c r="I344">
        <v>27</v>
      </c>
      <c r="J344">
        <v>34</v>
      </c>
      <c r="K344">
        <v>61</v>
      </c>
      <c r="L344">
        <v>36</v>
      </c>
      <c r="M344">
        <v>10</v>
      </c>
      <c r="N344">
        <v>7</v>
      </c>
      <c r="O344">
        <v>8</v>
      </c>
      <c r="P344">
        <v>10</v>
      </c>
      <c r="Q344">
        <v>2</v>
      </c>
      <c r="R344">
        <v>0</v>
      </c>
      <c r="S344">
        <v>2</v>
      </c>
      <c r="T344">
        <f t="shared" si="11"/>
        <v>0</v>
      </c>
    </row>
    <row r="345" spans="1:20" x14ac:dyDescent="0.2">
      <c r="A345">
        <v>344</v>
      </c>
      <c r="B345" t="s">
        <v>17</v>
      </c>
      <c r="C345" t="s">
        <v>512</v>
      </c>
      <c r="D345" t="s">
        <v>378</v>
      </c>
      <c r="E345">
        <v>19240300105</v>
      </c>
      <c r="F345" t="s">
        <v>36</v>
      </c>
      <c r="G345" t="s">
        <v>24</v>
      </c>
      <c r="H345" t="s">
        <v>42</v>
      </c>
      <c r="I345">
        <v>24</v>
      </c>
      <c r="J345">
        <v>33</v>
      </c>
      <c r="K345">
        <v>57</v>
      </c>
      <c r="L345">
        <v>30</v>
      </c>
      <c r="M345">
        <v>9</v>
      </c>
      <c r="N345">
        <v>10</v>
      </c>
      <c r="O345">
        <v>8</v>
      </c>
      <c r="P345">
        <v>5</v>
      </c>
      <c r="Q345">
        <v>9</v>
      </c>
      <c r="R345">
        <v>5</v>
      </c>
      <c r="S345">
        <v>14</v>
      </c>
      <c r="T345">
        <f t="shared" si="11"/>
        <v>1</v>
      </c>
    </row>
    <row r="346" spans="1:20" x14ac:dyDescent="0.2">
      <c r="A346">
        <v>345</v>
      </c>
      <c r="B346" t="s">
        <v>17</v>
      </c>
      <c r="C346" t="s">
        <v>512</v>
      </c>
      <c r="D346" t="s">
        <v>379</v>
      </c>
      <c r="E346">
        <v>19240201102</v>
      </c>
      <c r="F346" t="s">
        <v>35</v>
      </c>
      <c r="G346" t="s">
        <v>38</v>
      </c>
      <c r="H346" t="s">
        <v>43</v>
      </c>
      <c r="I346">
        <v>27</v>
      </c>
      <c r="J346">
        <v>35</v>
      </c>
      <c r="K346">
        <v>62</v>
      </c>
      <c r="L346">
        <v>37</v>
      </c>
      <c r="M346">
        <v>9</v>
      </c>
      <c r="N346">
        <v>7</v>
      </c>
      <c r="O346">
        <v>9</v>
      </c>
      <c r="P346">
        <v>8</v>
      </c>
      <c r="Q346">
        <v>8</v>
      </c>
      <c r="R346">
        <v>1</v>
      </c>
      <c r="S346">
        <v>9</v>
      </c>
      <c r="T346">
        <f t="shared" si="11"/>
        <v>0</v>
      </c>
    </row>
    <row r="347" spans="1:20" x14ac:dyDescent="0.2">
      <c r="A347">
        <v>346</v>
      </c>
      <c r="B347" t="s">
        <v>17</v>
      </c>
      <c r="C347" t="s">
        <v>512</v>
      </c>
      <c r="D347" t="s">
        <v>380</v>
      </c>
      <c r="E347">
        <v>19240302203</v>
      </c>
      <c r="F347" t="s">
        <v>36</v>
      </c>
      <c r="G347" t="s">
        <v>39</v>
      </c>
      <c r="H347" t="s">
        <v>42</v>
      </c>
      <c r="I347">
        <v>20</v>
      </c>
      <c r="J347">
        <v>20</v>
      </c>
      <c r="K347">
        <v>40</v>
      </c>
      <c r="L347">
        <v>14</v>
      </c>
      <c r="M347">
        <v>9</v>
      </c>
      <c r="N347">
        <v>9</v>
      </c>
      <c r="O347">
        <v>8</v>
      </c>
      <c r="P347">
        <v>9</v>
      </c>
      <c r="Q347">
        <v>10</v>
      </c>
      <c r="R347">
        <v>2</v>
      </c>
      <c r="S347">
        <v>12</v>
      </c>
      <c r="T347">
        <f t="shared" si="11"/>
        <v>1</v>
      </c>
    </row>
    <row r="348" spans="1:20" x14ac:dyDescent="0.2">
      <c r="A348">
        <v>347</v>
      </c>
      <c r="B348" t="s">
        <v>17</v>
      </c>
      <c r="C348" t="s">
        <v>512</v>
      </c>
      <c r="D348" t="s">
        <v>381</v>
      </c>
      <c r="E348">
        <v>19240304806</v>
      </c>
      <c r="F348" t="s">
        <v>37</v>
      </c>
      <c r="G348" t="s">
        <v>24</v>
      </c>
      <c r="H348" t="s">
        <v>42</v>
      </c>
      <c r="I348">
        <v>35</v>
      </c>
      <c r="J348">
        <v>37</v>
      </c>
      <c r="K348">
        <v>72</v>
      </c>
      <c r="L348">
        <v>51</v>
      </c>
      <c r="M348">
        <v>7</v>
      </c>
      <c r="N348">
        <v>7</v>
      </c>
      <c r="O348">
        <v>7</v>
      </c>
      <c r="P348">
        <v>5</v>
      </c>
      <c r="Q348">
        <v>1</v>
      </c>
      <c r="R348">
        <v>2</v>
      </c>
      <c r="S348">
        <v>3</v>
      </c>
      <c r="T348">
        <f t="shared" si="11"/>
        <v>0</v>
      </c>
    </row>
    <row r="349" spans="1:20" x14ac:dyDescent="0.2">
      <c r="A349">
        <v>348</v>
      </c>
      <c r="B349" t="s">
        <v>17</v>
      </c>
      <c r="C349" t="s">
        <v>512</v>
      </c>
      <c r="D349" t="s">
        <v>382</v>
      </c>
      <c r="E349">
        <v>19240304804</v>
      </c>
      <c r="F349" t="s">
        <v>35</v>
      </c>
      <c r="G349" t="s">
        <v>24</v>
      </c>
      <c r="H349" t="s">
        <v>44</v>
      </c>
      <c r="I349">
        <v>24</v>
      </c>
      <c r="J349">
        <v>37</v>
      </c>
      <c r="K349">
        <v>61</v>
      </c>
      <c r="L349">
        <v>40</v>
      </c>
      <c r="M349">
        <v>9</v>
      </c>
      <c r="N349">
        <v>5</v>
      </c>
      <c r="O349">
        <v>7</v>
      </c>
      <c r="P349">
        <v>6</v>
      </c>
      <c r="Q349">
        <v>0</v>
      </c>
      <c r="R349">
        <v>5</v>
      </c>
      <c r="S349">
        <v>5</v>
      </c>
      <c r="T349">
        <f t="shared" si="11"/>
        <v>0</v>
      </c>
    </row>
    <row r="350" spans="1:20" x14ac:dyDescent="0.2">
      <c r="A350">
        <v>349</v>
      </c>
      <c r="B350" t="s">
        <v>17</v>
      </c>
      <c r="C350" t="s">
        <v>512</v>
      </c>
      <c r="D350" t="s">
        <v>383</v>
      </c>
      <c r="E350">
        <v>19240302805</v>
      </c>
      <c r="F350" t="s">
        <v>37</v>
      </c>
      <c r="G350" t="s">
        <v>23</v>
      </c>
      <c r="H350" t="s">
        <v>43</v>
      </c>
      <c r="I350">
        <v>38</v>
      </c>
      <c r="J350">
        <v>37</v>
      </c>
      <c r="K350">
        <v>75</v>
      </c>
      <c r="L350">
        <v>53</v>
      </c>
      <c r="M350">
        <v>8</v>
      </c>
      <c r="N350">
        <v>5</v>
      </c>
      <c r="O350">
        <v>9</v>
      </c>
      <c r="P350">
        <v>10</v>
      </c>
      <c r="Q350">
        <v>10</v>
      </c>
      <c r="R350">
        <v>5</v>
      </c>
      <c r="S350">
        <v>15</v>
      </c>
      <c r="T350">
        <f t="shared" si="11"/>
        <v>0</v>
      </c>
    </row>
    <row r="351" spans="1:20" x14ac:dyDescent="0.2">
      <c r="A351">
        <v>350</v>
      </c>
      <c r="B351" t="s">
        <v>17</v>
      </c>
      <c r="C351" t="s">
        <v>510</v>
      </c>
      <c r="D351" t="s">
        <v>384</v>
      </c>
      <c r="E351">
        <v>19240204902</v>
      </c>
      <c r="F351" t="s">
        <v>36</v>
      </c>
      <c r="G351" t="s">
        <v>40</v>
      </c>
      <c r="H351" t="s">
        <v>42</v>
      </c>
      <c r="I351">
        <v>31</v>
      </c>
      <c r="J351">
        <v>24</v>
      </c>
      <c r="K351">
        <v>55</v>
      </c>
      <c r="L351">
        <v>26</v>
      </c>
      <c r="M351">
        <v>9</v>
      </c>
      <c r="N351">
        <v>10</v>
      </c>
      <c r="O351">
        <v>10</v>
      </c>
      <c r="P351">
        <v>10</v>
      </c>
      <c r="Q351">
        <v>2</v>
      </c>
      <c r="R351">
        <v>6</v>
      </c>
      <c r="S351">
        <v>8</v>
      </c>
      <c r="T351">
        <f t="shared" si="11"/>
        <v>1</v>
      </c>
    </row>
    <row r="352" spans="1:20" x14ac:dyDescent="0.2">
      <c r="A352">
        <v>351</v>
      </c>
      <c r="B352" t="s">
        <v>17</v>
      </c>
      <c r="C352" t="s">
        <v>512</v>
      </c>
      <c r="D352" t="s">
        <v>385</v>
      </c>
      <c r="E352">
        <v>19240302903</v>
      </c>
      <c r="F352" t="s">
        <v>35</v>
      </c>
      <c r="G352" t="s">
        <v>23</v>
      </c>
      <c r="H352" t="s">
        <v>41</v>
      </c>
      <c r="I352">
        <v>25</v>
      </c>
      <c r="J352">
        <v>26</v>
      </c>
      <c r="K352">
        <v>51</v>
      </c>
      <c r="L352">
        <v>30</v>
      </c>
      <c r="M352">
        <v>9</v>
      </c>
      <c r="N352">
        <v>5</v>
      </c>
      <c r="O352">
        <v>7</v>
      </c>
      <c r="P352">
        <v>7</v>
      </c>
      <c r="Q352">
        <v>3</v>
      </c>
      <c r="R352">
        <v>9</v>
      </c>
      <c r="S352">
        <v>12</v>
      </c>
      <c r="T352">
        <f t="shared" si="11"/>
        <v>0</v>
      </c>
    </row>
    <row r="353" spans="1:20" x14ac:dyDescent="0.2">
      <c r="A353">
        <v>352</v>
      </c>
      <c r="B353" t="s">
        <v>17</v>
      </c>
      <c r="C353" t="s">
        <v>512</v>
      </c>
      <c r="D353" t="s">
        <v>386</v>
      </c>
      <c r="E353">
        <v>19240301004</v>
      </c>
      <c r="F353" t="s">
        <v>36</v>
      </c>
      <c r="G353" t="s">
        <v>38</v>
      </c>
      <c r="H353" t="s">
        <v>42</v>
      </c>
      <c r="I353">
        <v>28</v>
      </c>
      <c r="J353">
        <v>36</v>
      </c>
      <c r="K353">
        <v>64</v>
      </c>
      <c r="L353">
        <v>46</v>
      </c>
      <c r="M353">
        <v>8</v>
      </c>
      <c r="N353">
        <v>5</v>
      </c>
      <c r="O353">
        <v>5</v>
      </c>
      <c r="P353">
        <v>7</v>
      </c>
      <c r="Q353">
        <v>6</v>
      </c>
      <c r="R353">
        <v>4</v>
      </c>
      <c r="S353">
        <v>10</v>
      </c>
      <c r="T353">
        <f t="shared" si="11"/>
        <v>0</v>
      </c>
    </row>
    <row r="354" spans="1:20" x14ac:dyDescent="0.2">
      <c r="A354">
        <v>353</v>
      </c>
      <c r="B354" t="s">
        <v>17</v>
      </c>
      <c r="C354" t="s">
        <v>512</v>
      </c>
      <c r="D354" t="s">
        <v>387</v>
      </c>
      <c r="E354">
        <v>19240202601</v>
      </c>
      <c r="F354" t="s">
        <v>36</v>
      </c>
      <c r="G354" t="s">
        <v>39</v>
      </c>
      <c r="H354" t="s">
        <v>41</v>
      </c>
      <c r="I354">
        <v>25</v>
      </c>
      <c r="J354">
        <v>36</v>
      </c>
      <c r="K354">
        <v>61</v>
      </c>
      <c r="L354">
        <v>35</v>
      </c>
      <c r="M354">
        <v>9</v>
      </c>
      <c r="N354">
        <v>7</v>
      </c>
      <c r="O354">
        <v>10</v>
      </c>
      <c r="P354">
        <v>5</v>
      </c>
      <c r="Q354">
        <v>7</v>
      </c>
      <c r="R354">
        <v>10</v>
      </c>
      <c r="S354">
        <v>17</v>
      </c>
      <c r="T354">
        <f t="shared" si="11"/>
        <v>0</v>
      </c>
    </row>
    <row r="355" spans="1:20" x14ac:dyDescent="0.2">
      <c r="A355">
        <v>354</v>
      </c>
      <c r="B355" t="s">
        <v>17</v>
      </c>
      <c r="C355" t="s">
        <v>512</v>
      </c>
      <c r="D355" t="s">
        <v>388</v>
      </c>
      <c r="E355">
        <v>19240303602</v>
      </c>
      <c r="F355" t="s">
        <v>36</v>
      </c>
      <c r="G355" t="s">
        <v>24</v>
      </c>
      <c r="H355" t="s">
        <v>42</v>
      </c>
      <c r="I355">
        <v>37</v>
      </c>
      <c r="J355">
        <v>34</v>
      </c>
      <c r="K355">
        <v>71</v>
      </c>
      <c r="L355">
        <v>49</v>
      </c>
      <c r="M355">
        <v>7</v>
      </c>
      <c r="N355">
        <v>8</v>
      </c>
      <c r="O355">
        <v>7</v>
      </c>
      <c r="P355">
        <v>8</v>
      </c>
      <c r="Q355">
        <v>3</v>
      </c>
      <c r="R355">
        <v>5</v>
      </c>
      <c r="S355">
        <v>8</v>
      </c>
      <c r="T355">
        <f t="shared" si="11"/>
        <v>0</v>
      </c>
    </row>
    <row r="356" spans="1:20" x14ac:dyDescent="0.2">
      <c r="A356">
        <v>355</v>
      </c>
      <c r="B356" t="s">
        <v>17</v>
      </c>
      <c r="C356" t="s">
        <v>512</v>
      </c>
      <c r="D356" t="s">
        <v>389</v>
      </c>
      <c r="E356">
        <v>19240301304</v>
      </c>
      <c r="F356" t="s">
        <v>35</v>
      </c>
      <c r="G356" t="s">
        <v>38</v>
      </c>
      <c r="H356" t="s">
        <v>43</v>
      </c>
      <c r="I356">
        <v>34</v>
      </c>
      <c r="J356">
        <v>22</v>
      </c>
      <c r="K356">
        <v>56</v>
      </c>
      <c r="L356">
        <v>38</v>
      </c>
      <c r="M356">
        <v>5</v>
      </c>
      <c r="N356">
        <v>7</v>
      </c>
      <c r="O356">
        <v>6</v>
      </c>
      <c r="P356">
        <v>5</v>
      </c>
      <c r="Q356">
        <v>5</v>
      </c>
      <c r="R356">
        <v>8</v>
      </c>
      <c r="S356">
        <v>13</v>
      </c>
      <c r="T356">
        <f t="shared" si="11"/>
        <v>0</v>
      </c>
    </row>
    <row r="357" spans="1:20" x14ac:dyDescent="0.2">
      <c r="A357">
        <v>356</v>
      </c>
      <c r="B357" t="s">
        <v>17</v>
      </c>
      <c r="C357" t="s">
        <v>512</v>
      </c>
      <c r="D357" t="s">
        <v>390</v>
      </c>
      <c r="E357">
        <v>19240303603</v>
      </c>
      <c r="F357" t="s">
        <v>36</v>
      </c>
      <c r="G357" t="s">
        <v>39</v>
      </c>
      <c r="H357" t="s">
        <v>42</v>
      </c>
      <c r="I357">
        <v>40</v>
      </c>
      <c r="J357">
        <v>33</v>
      </c>
      <c r="K357">
        <v>73</v>
      </c>
      <c r="L357">
        <v>52</v>
      </c>
      <c r="M357">
        <v>7</v>
      </c>
      <c r="N357">
        <v>5</v>
      </c>
      <c r="O357">
        <v>9</v>
      </c>
      <c r="P357">
        <v>7</v>
      </c>
      <c r="Q357">
        <v>9</v>
      </c>
      <c r="R357">
        <v>6</v>
      </c>
      <c r="S357">
        <v>15</v>
      </c>
      <c r="T357">
        <f t="shared" si="11"/>
        <v>0</v>
      </c>
    </row>
    <row r="358" spans="1:20" x14ac:dyDescent="0.2">
      <c r="A358">
        <v>357</v>
      </c>
      <c r="B358" t="s">
        <v>17</v>
      </c>
      <c r="C358" t="s">
        <v>512</v>
      </c>
      <c r="D358" t="s">
        <v>391</v>
      </c>
      <c r="E358">
        <v>19240307203</v>
      </c>
      <c r="F358" t="s">
        <v>37</v>
      </c>
      <c r="G358" t="s">
        <v>24</v>
      </c>
      <c r="H358" t="s">
        <v>42</v>
      </c>
      <c r="I358">
        <v>24</v>
      </c>
      <c r="J358">
        <v>34</v>
      </c>
      <c r="K358">
        <v>58</v>
      </c>
      <c r="L358">
        <v>34</v>
      </c>
      <c r="M358">
        <v>10</v>
      </c>
      <c r="N358">
        <v>6</v>
      </c>
      <c r="O358">
        <v>8</v>
      </c>
      <c r="P358">
        <v>9</v>
      </c>
      <c r="Q358">
        <v>1</v>
      </c>
      <c r="R358">
        <v>8</v>
      </c>
      <c r="S358">
        <v>9</v>
      </c>
      <c r="T358">
        <f t="shared" si="11"/>
        <v>0</v>
      </c>
    </row>
    <row r="359" spans="1:20" x14ac:dyDescent="0.2">
      <c r="A359">
        <v>358</v>
      </c>
      <c r="B359" t="s">
        <v>17</v>
      </c>
      <c r="C359" t="s">
        <v>512</v>
      </c>
      <c r="D359" t="s">
        <v>392</v>
      </c>
      <c r="E359">
        <v>19240301603</v>
      </c>
      <c r="F359" t="s">
        <v>35</v>
      </c>
      <c r="G359" t="s">
        <v>24</v>
      </c>
      <c r="H359" t="s">
        <v>44</v>
      </c>
      <c r="I359">
        <v>36</v>
      </c>
      <c r="J359">
        <v>28</v>
      </c>
      <c r="K359">
        <v>64</v>
      </c>
      <c r="L359">
        <v>39</v>
      </c>
      <c r="M359">
        <v>9</v>
      </c>
      <c r="N359">
        <v>9</v>
      </c>
      <c r="O359">
        <v>7</v>
      </c>
      <c r="P359">
        <v>5</v>
      </c>
      <c r="Q359">
        <v>7</v>
      </c>
      <c r="R359">
        <v>0</v>
      </c>
      <c r="S359">
        <v>7</v>
      </c>
      <c r="T359">
        <f t="shared" si="11"/>
        <v>0</v>
      </c>
    </row>
    <row r="360" spans="1:20" x14ac:dyDescent="0.2">
      <c r="A360">
        <v>359</v>
      </c>
      <c r="B360" t="s">
        <v>17</v>
      </c>
      <c r="C360" t="s">
        <v>512</v>
      </c>
      <c r="D360" t="s">
        <v>393</v>
      </c>
      <c r="E360">
        <v>19240304003</v>
      </c>
      <c r="F360" t="s">
        <v>37</v>
      </c>
      <c r="G360" t="s">
        <v>23</v>
      </c>
      <c r="H360" t="s">
        <v>43</v>
      </c>
      <c r="I360">
        <v>27</v>
      </c>
      <c r="J360">
        <v>28</v>
      </c>
      <c r="K360">
        <v>55</v>
      </c>
      <c r="L360">
        <v>35</v>
      </c>
      <c r="M360">
        <v>8</v>
      </c>
      <c r="N360">
        <v>6</v>
      </c>
      <c r="O360">
        <v>6</v>
      </c>
      <c r="P360">
        <v>6</v>
      </c>
      <c r="Q360">
        <v>5</v>
      </c>
      <c r="R360">
        <v>9</v>
      </c>
      <c r="S360">
        <v>14</v>
      </c>
      <c r="T360">
        <f t="shared" si="11"/>
        <v>0</v>
      </c>
    </row>
    <row r="361" spans="1:20" x14ac:dyDescent="0.2">
      <c r="A361">
        <v>360</v>
      </c>
      <c r="B361" t="s">
        <v>17</v>
      </c>
      <c r="C361" t="s">
        <v>510</v>
      </c>
      <c r="D361" t="s">
        <v>394</v>
      </c>
      <c r="E361">
        <v>19240203302</v>
      </c>
      <c r="F361" t="s">
        <v>36</v>
      </c>
      <c r="G361" t="s">
        <v>40</v>
      </c>
      <c r="H361" t="s">
        <v>42</v>
      </c>
      <c r="I361">
        <v>25</v>
      </c>
      <c r="J361">
        <v>35</v>
      </c>
      <c r="K361">
        <v>60</v>
      </c>
      <c r="L361">
        <v>33</v>
      </c>
      <c r="M361">
        <v>8</v>
      </c>
      <c r="N361">
        <v>10</v>
      </c>
      <c r="O361">
        <v>9</v>
      </c>
      <c r="P361">
        <v>10</v>
      </c>
      <c r="Q361">
        <v>3</v>
      </c>
      <c r="R361">
        <v>6</v>
      </c>
      <c r="S361">
        <v>9</v>
      </c>
      <c r="T361">
        <f t="shared" si="11"/>
        <v>1</v>
      </c>
    </row>
    <row r="362" spans="1:20" x14ac:dyDescent="0.2">
      <c r="A362">
        <v>361</v>
      </c>
      <c r="B362" t="s">
        <v>17</v>
      </c>
      <c r="C362" t="s">
        <v>512</v>
      </c>
      <c r="D362" t="s">
        <v>395</v>
      </c>
      <c r="E362">
        <v>19240306901</v>
      </c>
      <c r="F362" t="s">
        <v>35</v>
      </c>
      <c r="G362" t="s">
        <v>23</v>
      </c>
      <c r="H362" t="s">
        <v>41</v>
      </c>
      <c r="I362">
        <v>28</v>
      </c>
      <c r="J362">
        <v>22</v>
      </c>
      <c r="K362">
        <v>50</v>
      </c>
      <c r="L362">
        <v>26</v>
      </c>
      <c r="M362">
        <v>9</v>
      </c>
      <c r="N362">
        <v>9</v>
      </c>
      <c r="O362">
        <v>6</v>
      </c>
      <c r="P362">
        <v>9</v>
      </c>
      <c r="Q362">
        <v>8</v>
      </c>
      <c r="R362">
        <v>10</v>
      </c>
      <c r="S362">
        <v>18</v>
      </c>
      <c r="T362">
        <f t="shared" si="11"/>
        <v>1</v>
      </c>
    </row>
    <row r="363" spans="1:20" x14ac:dyDescent="0.2">
      <c r="A363">
        <v>362</v>
      </c>
      <c r="B363" t="s">
        <v>17</v>
      </c>
      <c r="C363" t="s">
        <v>510</v>
      </c>
      <c r="D363" t="s">
        <v>396</v>
      </c>
      <c r="E363">
        <v>19240202802</v>
      </c>
      <c r="F363" t="s">
        <v>36</v>
      </c>
      <c r="G363" t="s">
        <v>38</v>
      </c>
      <c r="H363" t="s">
        <v>42</v>
      </c>
      <c r="I363">
        <v>27</v>
      </c>
      <c r="J363">
        <v>28</v>
      </c>
      <c r="K363">
        <v>55</v>
      </c>
      <c r="L363">
        <v>33</v>
      </c>
      <c r="M363">
        <v>5</v>
      </c>
      <c r="N363">
        <v>10</v>
      </c>
      <c r="O363">
        <v>7</v>
      </c>
      <c r="P363">
        <v>10</v>
      </c>
      <c r="Q363">
        <v>2</v>
      </c>
      <c r="R363">
        <v>7</v>
      </c>
      <c r="S363">
        <v>9</v>
      </c>
      <c r="T363">
        <f t="shared" si="11"/>
        <v>0</v>
      </c>
    </row>
    <row r="364" spans="1:20" x14ac:dyDescent="0.2">
      <c r="A364">
        <v>363</v>
      </c>
      <c r="B364" t="s">
        <v>17</v>
      </c>
      <c r="C364" t="s">
        <v>512</v>
      </c>
      <c r="D364" t="s">
        <v>397</v>
      </c>
      <c r="E364">
        <v>19240301105</v>
      </c>
      <c r="F364" t="s">
        <v>36</v>
      </c>
      <c r="G364" t="s">
        <v>39</v>
      </c>
      <c r="H364" t="s">
        <v>41</v>
      </c>
      <c r="I364">
        <v>31</v>
      </c>
      <c r="J364">
        <v>28</v>
      </c>
      <c r="K364">
        <v>59</v>
      </c>
      <c r="L364">
        <v>41</v>
      </c>
      <c r="M364">
        <v>6</v>
      </c>
      <c r="N364">
        <v>7</v>
      </c>
      <c r="O364">
        <v>5</v>
      </c>
      <c r="P364">
        <v>9</v>
      </c>
      <c r="Q364">
        <v>6</v>
      </c>
      <c r="R364">
        <v>6</v>
      </c>
      <c r="S364">
        <v>12</v>
      </c>
      <c r="T364">
        <f t="shared" si="11"/>
        <v>0</v>
      </c>
    </row>
    <row r="365" spans="1:20" x14ac:dyDescent="0.2">
      <c r="A365">
        <v>364</v>
      </c>
      <c r="B365" t="s">
        <v>17</v>
      </c>
      <c r="C365" t="s">
        <v>512</v>
      </c>
      <c r="D365" t="s">
        <v>398</v>
      </c>
      <c r="E365">
        <v>19240301106</v>
      </c>
      <c r="F365" t="s">
        <v>36</v>
      </c>
      <c r="G365" t="s">
        <v>24</v>
      </c>
      <c r="H365" t="s">
        <v>42</v>
      </c>
      <c r="I365">
        <v>23</v>
      </c>
      <c r="J365">
        <v>37</v>
      </c>
      <c r="K365">
        <v>60</v>
      </c>
      <c r="L365">
        <v>41</v>
      </c>
      <c r="M365">
        <v>5</v>
      </c>
      <c r="N365">
        <v>6</v>
      </c>
      <c r="O365">
        <v>8</v>
      </c>
      <c r="P365">
        <v>9</v>
      </c>
      <c r="Q365">
        <v>0</v>
      </c>
      <c r="R365">
        <v>2</v>
      </c>
      <c r="S365">
        <v>2</v>
      </c>
      <c r="T365">
        <f t="shared" si="11"/>
        <v>0</v>
      </c>
    </row>
    <row r="366" spans="1:20" x14ac:dyDescent="0.2">
      <c r="A366">
        <v>365</v>
      </c>
      <c r="B366" t="s">
        <v>17</v>
      </c>
      <c r="C366" t="s">
        <v>512</v>
      </c>
      <c r="D366" t="s">
        <v>399</v>
      </c>
      <c r="E366">
        <v>19240301505</v>
      </c>
      <c r="F366" t="s">
        <v>35</v>
      </c>
      <c r="G366" t="s">
        <v>38</v>
      </c>
      <c r="H366" t="s">
        <v>43</v>
      </c>
      <c r="I366">
        <v>30</v>
      </c>
      <c r="J366">
        <v>35</v>
      </c>
      <c r="K366">
        <v>65</v>
      </c>
      <c r="L366">
        <v>42</v>
      </c>
      <c r="M366">
        <v>5</v>
      </c>
      <c r="N366">
        <v>8</v>
      </c>
      <c r="O366">
        <v>10</v>
      </c>
      <c r="P366">
        <v>6</v>
      </c>
      <c r="Q366">
        <v>5</v>
      </c>
      <c r="R366">
        <v>2</v>
      </c>
      <c r="S366">
        <v>7</v>
      </c>
      <c r="T366">
        <f t="shared" si="11"/>
        <v>0</v>
      </c>
    </row>
    <row r="367" spans="1:20" x14ac:dyDescent="0.2">
      <c r="A367">
        <v>366</v>
      </c>
      <c r="B367" t="s">
        <v>17</v>
      </c>
      <c r="C367" t="s">
        <v>512</v>
      </c>
      <c r="D367" t="s">
        <v>400</v>
      </c>
      <c r="E367">
        <v>19240303203</v>
      </c>
      <c r="F367" t="s">
        <v>36</v>
      </c>
      <c r="G367" t="s">
        <v>39</v>
      </c>
      <c r="H367" t="s">
        <v>42</v>
      </c>
      <c r="I367">
        <v>29</v>
      </c>
      <c r="J367">
        <v>24</v>
      </c>
      <c r="K367">
        <v>53</v>
      </c>
      <c r="L367">
        <v>33</v>
      </c>
      <c r="M367">
        <v>8</v>
      </c>
      <c r="N367">
        <v>6</v>
      </c>
      <c r="O367">
        <v>6</v>
      </c>
      <c r="P367">
        <v>7</v>
      </c>
      <c r="Q367">
        <v>0</v>
      </c>
      <c r="R367">
        <v>10</v>
      </c>
      <c r="S367">
        <v>10</v>
      </c>
      <c r="T367">
        <f t="shared" si="11"/>
        <v>0</v>
      </c>
    </row>
    <row r="368" spans="1:20" x14ac:dyDescent="0.2">
      <c r="A368">
        <v>367</v>
      </c>
      <c r="B368" t="s">
        <v>17</v>
      </c>
      <c r="C368" t="s">
        <v>512</v>
      </c>
      <c r="D368" t="s">
        <v>401</v>
      </c>
      <c r="E368">
        <v>19240300702</v>
      </c>
      <c r="F368" t="s">
        <v>37</v>
      </c>
      <c r="G368" t="s">
        <v>24</v>
      </c>
      <c r="H368" t="s">
        <v>42</v>
      </c>
      <c r="I368">
        <v>32</v>
      </c>
      <c r="J368">
        <v>38</v>
      </c>
      <c r="K368">
        <v>70</v>
      </c>
      <c r="L368">
        <v>41</v>
      </c>
      <c r="M368">
        <v>10</v>
      </c>
      <c r="N368">
        <v>9</v>
      </c>
      <c r="O368">
        <v>10</v>
      </c>
      <c r="P368">
        <v>6</v>
      </c>
      <c r="Q368">
        <v>1</v>
      </c>
      <c r="R368">
        <v>1</v>
      </c>
      <c r="S368">
        <v>2</v>
      </c>
      <c r="T368">
        <f t="shared" si="11"/>
        <v>0</v>
      </c>
    </row>
    <row r="369" spans="1:20" x14ac:dyDescent="0.2">
      <c r="A369">
        <v>368</v>
      </c>
      <c r="B369" t="s">
        <v>17</v>
      </c>
      <c r="C369" t="s">
        <v>510</v>
      </c>
      <c r="D369" t="s">
        <v>402</v>
      </c>
      <c r="E369">
        <v>19240201802</v>
      </c>
      <c r="F369" t="s">
        <v>35</v>
      </c>
      <c r="G369" t="s">
        <v>24</v>
      </c>
      <c r="H369" t="s">
        <v>44</v>
      </c>
      <c r="I369">
        <v>33</v>
      </c>
      <c r="J369">
        <v>29</v>
      </c>
      <c r="K369">
        <v>62</v>
      </c>
      <c r="L369">
        <v>40</v>
      </c>
      <c r="M369">
        <v>6</v>
      </c>
      <c r="N369">
        <v>7</v>
      </c>
      <c r="O369">
        <v>9</v>
      </c>
      <c r="P369">
        <v>10</v>
      </c>
      <c r="Q369">
        <v>0</v>
      </c>
      <c r="R369">
        <v>3</v>
      </c>
      <c r="S369">
        <v>3</v>
      </c>
      <c r="T369">
        <f t="shared" si="11"/>
        <v>0</v>
      </c>
    </row>
    <row r="370" spans="1:20" x14ac:dyDescent="0.2">
      <c r="A370">
        <v>369</v>
      </c>
      <c r="B370" t="s">
        <v>17</v>
      </c>
      <c r="C370" t="s">
        <v>512</v>
      </c>
      <c r="D370" t="s">
        <v>403</v>
      </c>
      <c r="E370">
        <v>19240305502</v>
      </c>
      <c r="F370" t="s">
        <v>37</v>
      </c>
      <c r="G370" t="s">
        <v>23</v>
      </c>
      <c r="H370" t="s">
        <v>43</v>
      </c>
      <c r="I370">
        <v>22</v>
      </c>
      <c r="J370">
        <v>40</v>
      </c>
      <c r="K370">
        <v>62</v>
      </c>
      <c r="L370">
        <v>40</v>
      </c>
      <c r="M370">
        <v>9</v>
      </c>
      <c r="N370">
        <v>6</v>
      </c>
      <c r="O370">
        <v>7</v>
      </c>
      <c r="P370">
        <v>6</v>
      </c>
      <c r="Q370">
        <v>0</v>
      </c>
      <c r="R370">
        <v>3</v>
      </c>
      <c r="S370">
        <v>3</v>
      </c>
      <c r="T370">
        <f t="shared" si="11"/>
        <v>0</v>
      </c>
    </row>
    <row r="371" spans="1:20" x14ac:dyDescent="0.2">
      <c r="A371">
        <v>370</v>
      </c>
      <c r="B371" t="s">
        <v>17</v>
      </c>
      <c r="C371" t="s">
        <v>512</v>
      </c>
      <c r="D371" t="s">
        <v>404</v>
      </c>
      <c r="E371">
        <v>19240302101</v>
      </c>
      <c r="F371" t="s">
        <v>36</v>
      </c>
      <c r="G371" t="s">
        <v>40</v>
      </c>
      <c r="H371" t="s">
        <v>42</v>
      </c>
      <c r="I371">
        <v>32</v>
      </c>
      <c r="J371">
        <v>39</v>
      </c>
      <c r="K371">
        <v>71</v>
      </c>
      <c r="L371">
        <v>52</v>
      </c>
      <c r="M371">
        <v>5</v>
      </c>
      <c r="N371">
        <v>9</v>
      </c>
      <c r="O371">
        <v>5</v>
      </c>
      <c r="P371">
        <v>7</v>
      </c>
      <c r="Q371">
        <v>0</v>
      </c>
      <c r="R371">
        <v>1</v>
      </c>
      <c r="S371">
        <v>1</v>
      </c>
      <c r="T371">
        <f t="shared" si="11"/>
        <v>0</v>
      </c>
    </row>
    <row r="372" spans="1:20" x14ac:dyDescent="0.2">
      <c r="A372">
        <v>371</v>
      </c>
      <c r="B372" t="s">
        <v>17</v>
      </c>
      <c r="C372" t="s">
        <v>512</v>
      </c>
      <c r="D372" t="s">
        <v>405</v>
      </c>
      <c r="E372">
        <v>19240303202</v>
      </c>
      <c r="F372" t="s">
        <v>35</v>
      </c>
      <c r="G372" t="s">
        <v>23</v>
      </c>
      <c r="H372" t="s">
        <v>41</v>
      </c>
      <c r="I372">
        <v>36</v>
      </c>
      <c r="J372">
        <v>27</v>
      </c>
      <c r="K372">
        <v>63</v>
      </c>
      <c r="L372">
        <v>38</v>
      </c>
      <c r="M372">
        <v>6</v>
      </c>
      <c r="N372">
        <v>9</v>
      </c>
      <c r="O372">
        <v>10</v>
      </c>
      <c r="P372">
        <v>5</v>
      </c>
      <c r="Q372">
        <v>9</v>
      </c>
      <c r="R372">
        <v>6</v>
      </c>
      <c r="S372">
        <v>15</v>
      </c>
      <c r="T372">
        <f t="shared" si="11"/>
        <v>0</v>
      </c>
    </row>
    <row r="373" spans="1:20" x14ac:dyDescent="0.2">
      <c r="A373">
        <v>372</v>
      </c>
      <c r="B373" t="s">
        <v>17</v>
      </c>
      <c r="C373" t="s">
        <v>512</v>
      </c>
      <c r="D373" t="s">
        <v>406</v>
      </c>
      <c r="E373">
        <v>19240307401</v>
      </c>
      <c r="F373" t="s">
        <v>36</v>
      </c>
      <c r="G373" t="s">
        <v>38</v>
      </c>
      <c r="H373" t="s">
        <v>42</v>
      </c>
      <c r="I373">
        <v>32</v>
      </c>
      <c r="J373">
        <v>27</v>
      </c>
      <c r="K373">
        <v>59</v>
      </c>
      <c r="L373">
        <v>32</v>
      </c>
      <c r="M373">
        <v>8</v>
      </c>
      <c r="N373">
        <v>10</v>
      </c>
      <c r="O373">
        <v>9</v>
      </c>
      <c r="P373">
        <v>9</v>
      </c>
      <c r="Q373">
        <v>4</v>
      </c>
      <c r="R373">
        <v>0</v>
      </c>
      <c r="S373">
        <v>4</v>
      </c>
      <c r="T373">
        <f t="shared" si="11"/>
        <v>1</v>
      </c>
    </row>
    <row r="374" spans="1:20" x14ac:dyDescent="0.2">
      <c r="A374">
        <v>373</v>
      </c>
      <c r="B374" t="s">
        <v>17</v>
      </c>
      <c r="C374" t="s">
        <v>512</v>
      </c>
      <c r="D374" t="s">
        <v>407</v>
      </c>
      <c r="E374">
        <v>19240305702</v>
      </c>
      <c r="F374" t="s">
        <v>36</v>
      </c>
      <c r="G374" t="s">
        <v>39</v>
      </c>
      <c r="H374" t="s">
        <v>41</v>
      </c>
      <c r="I374">
        <v>35</v>
      </c>
      <c r="J374">
        <v>31</v>
      </c>
      <c r="K374">
        <v>66</v>
      </c>
      <c r="L374">
        <v>41</v>
      </c>
      <c r="M374">
        <v>9</v>
      </c>
      <c r="N374">
        <v>6</v>
      </c>
      <c r="O374">
        <v>10</v>
      </c>
      <c r="P374">
        <v>8</v>
      </c>
      <c r="Q374">
        <v>10</v>
      </c>
      <c r="R374">
        <v>0</v>
      </c>
      <c r="S374">
        <v>10</v>
      </c>
      <c r="T374">
        <f t="shared" si="11"/>
        <v>0</v>
      </c>
    </row>
    <row r="375" spans="1:20" x14ac:dyDescent="0.2">
      <c r="A375">
        <v>374</v>
      </c>
      <c r="B375" t="s">
        <v>17</v>
      </c>
      <c r="C375" t="s">
        <v>512</v>
      </c>
      <c r="D375" t="s">
        <v>408</v>
      </c>
      <c r="E375">
        <v>19240301602</v>
      </c>
      <c r="F375" t="s">
        <v>36</v>
      </c>
      <c r="G375" t="s">
        <v>24</v>
      </c>
      <c r="H375" t="s">
        <v>42</v>
      </c>
      <c r="I375">
        <v>32</v>
      </c>
      <c r="J375">
        <v>32</v>
      </c>
      <c r="K375">
        <v>64</v>
      </c>
      <c r="L375">
        <v>36</v>
      </c>
      <c r="M375">
        <v>10</v>
      </c>
      <c r="N375">
        <v>8</v>
      </c>
      <c r="O375">
        <v>10</v>
      </c>
      <c r="P375">
        <v>9</v>
      </c>
      <c r="Q375">
        <v>5</v>
      </c>
      <c r="R375">
        <v>9</v>
      </c>
      <c r="S375">
        <v>14</v>
      </c>
      <c r="T375">
        <f t="shared" si="11"/>
        <v>1</v>
      </c>
    </row>
    <row r="376" spans="1:20" x14ac:dyDescent="0.2">
      <c r="A376">
        <v>375</v>
      </c>
      <c r="B376" t="s">
        <v>17</v>
      </c>
      <c r="C376" t="s">
        <v>512</v>
      </c>
      <c r="D376" t="s">
        <v>409</v>
      </c>
      <c r="E376">
        <v>19240303103</v>
      </c>
      <c r="F376" t="s">
        <v>35</v>
      </c>
      <c r="G376" t="s">
        <v>38</v>
      </c>
      <c r="H376" t="s">
        <v>43</v>
      </c>
      <c r="I376">
        <v>36</v>
      </c>
      <c r="J376">
        <v>29</v>
      </c>
      <c r="K376">
        <v>65</v>
      </c>
      <c r="L376">
        <v>42</v>
      </c>
      <c r="M376">
        <v>8</v>
      </c>
      <c r="N376">
        <v>10</v>
      </c>
      <c r="O376">
        <v>5</v>
      </c>
      <c r="P376">
        <v>7</v>
      </c>
      <c r="Q376">
        <v>5</v>
      </c>
      <c r="R376">
        <v>5</v>
      </c>
      <c r="S376">
        <v>10</v>
      </c>
      <c r="T376">
        <f t="shared" si="11"/>
        <v>0</v>
      </c>
    </row>
    <row r="377" spans="1:20" x14ac:dyDescent="0.2">
      <c r="A377">
        <v>376</v>
      </c>
      <c r="B377" t="s">
        <v>17</v>
      </c>
      <c r="C377" t="s">
        <v>512</v>
      </c>
      <c r="D377" t="s">
        <v>410</v>
      </c>
      <c r="E377">
        <v>19240306302</v>
      </c>
      <c r="F377" t="s">
        <v>36</v>
      </c>
      <c r="G377" t="s">
        <v>39</v>
      </c>
      <c r="H377" t="s">
        <v>42</v>
      </c>
      <c r="I377">
        <v>37</v>
      </c>
      <c r="J377">
        <v>38</v>
      </c>
      <c r="K377">
        <v>75</v>
      </c>
      <c r="L377">
        <v>53</v>
      </c>
      <c r="M377">
        <v>7</v>
      </c>
      <c r="N377">
        <v>9</v>
      </c>
      <c r="O377">
        <v>6</v>
      </c>
      <c r="P377">
        <v>7</v>
      </c>
      <c r="Q377">
        <v>6</v>
      </c>
      <c r="R377">
        <v>0</v>
      </c>
      <c r="S377">
        <v>6</v>
      </c>
      <c r="T377">
        <f t="shared" si="11"/>
        <v>0</v>
      </c>
    </row>
    <row r="378" spans="1:20" x14ac:dyDescent="0.2">
      <c r="A378">
        <v>377</v>
      </c>
      <c r="B378" t="s">
        <v>17</v>
      </c>
      <c r="C378" t="s">
        <v>512</v>
      </c>
      <c r="D378" t="s">
        <v>411</v>
      </c>
      <c r="E378">
        <v>19240306303</v>
      </c>
      <c r="F378" t="s">
        <v>37</v>
      </c>
      <c r="G378" t="s">
        <v>24</v>
      </c>
      <c r="H378" t="s">
        <v>42</v>
      </c>
      <c r="I378">
        <v>23</v>
      </c>
      <c r="J378">
        <v>23</v>
      </c>
      <c r="K378">
        <v>46</v>
      </c>
      <c r="L378">
        <v>22</v>
      </c>
      <c r="M378">
        <v>8</v>
      </c>
      <c r="N378">
        <v>10</v>
      </c>
      <c r="O378">
        <v>6</v>
      </c>
      <c r="P378">
        <v>5</v>
      </c>
      <c r="Q378">
        <v>6</v>
      </c>
      <c r="R378">
        <v>8</v>
      </c>
      <c r="S378">
        <v>14</v>
      </c>
      <c r="T378">
        <f t="shared" si="11"/>
        <v>1</v>
      </c>
    </row>
    <row r="379" spans="1:20" x14ac:dyDescent="0.2">
      <c r="A379">
        <v>378</v>
      </c>
      <c r="B379" t="s">
        <v>17</v>
      </c>
      <c r="C379" t="s">
        <v>512</v>
      </c>
      <c r="D379" t="s">
        <v>412</v>
      </c>
      <c r="E379">
        <v>19240307501</v>
      </c>
      <c r="F379" t="s">
        <v>35</v>
      </c>
      <c r="G379" t="s">
        <v>24</v>
      </c>
      <c r="H379" t="s">
        <v>44</v>
      </c>
      <c r="I379">
        <v>35</v>
      </c>
      <c r="J379">
        <v>39</v>
      </c>
      <c r="K379">
        <v>74</v>
      </c>
      <c r="L379">
        <v>52</v>
      </c>
      <c r="M379">
        <v>10</v>
      </c>
      <c r="N379">
        <v>5</v>
      </c>
      <c r="O379">
        <v>7</v>
      </c>
      <c r="P379">
        <v>6</v>
      </c>
      <c r="Q379">
        <v>7</v>
      </c>
      <c r="R379">
        <v>5</v>
      </c>
      <c r="S379">
        <v>12</v>
      </c>
      <c r="T379">
        <f t="shared" si="11"/>
        <v>0</v>
      </c>
    </row>
    <row r="380" spans="1:20" x14ac:dyDescent="0.2">
      <c r="A380">
        <v>379</v>
      </c>
      <c r="B380" t="s">
        <v>17</v>
      </c>
      <c r="C380" t="s">
        <v>512</v>
      </c>
      <c r="D380" t="s">
        <v>413</v>
      </c>
      <c r="E380">
        <v>19240302402</v>
      </c>
      <c r="F380" t="s">
        <v>37</v>
      </c>
      <c r="G380" t="s">
        <v>23</v>
      </c>
      <c r="H380" t="s">
        <v>43</v>
      </c>
      <c r="I380">
        <v>40</v>
      </c>
      <c r="J380">
        <v>25</v>
      </c>
      <c r="K380">
        <v>65</v>
      </c>
      <c r="L380">
        <v>41</v>
      </c>
      <c r="M380">
        <v>10</v>
      </c>
      <c r="N380">
        <v>5</v>
      </c>
      <c r="O380">
        <v>9</v>
      </c>
      <c r="P380">
        <v>5</v>
      </c>
      <c r="Q380">
        <v>10</v>
      </c>
      <c r="R380">
        <v>5</v>
      </c>
      <c r="S380">
        <v>15</v>
      </c>
      <c r="T380">
        <f t="shared" ref="T380:T388" si="12">IF(SUM(M380:P380) &gt; L380, 1, 0)</f>
        <v>0</v>
      </c>
    </row>
    <row r="381" spans="1:20" x14ac:dyDescent="0.2">
      <c r="A381">
        <v>380</v>
      </c>
      <c r="B381" t="s">
        <v>17</v>
      </c>
      <c r="C381" t="s">
        <v>512</v>
      </c>
      <c r="D381" t="s">
        <v>414</v>
      </c>
      <c r="E381">
        <v>19240302205</v>
      </c>
      <c r="F381" t="s">
        <v>36</v>
      </c>
      <c r="G381" t="s">
        <v>40</v>
      </c>
      <c r="H381" t="s">
        <v>42</v>
      </c>
      <c r="I381">
        <v>22</v>
      </c>
      <c r="J381">
        <v>28</v>
      </c>
      <c r="K381">
        <v>50</v>
      </c>
      <c r="L381">
        <v>23</v>
      </c>
      <c r="M381">
        <v>10</v>
      </c>
      <c r="N381">
        <v>10</v>
      </c>
      <c r="O381">
        <v>7</v>
      </c>
      <c r="P381">
        <v>5</v>
      </c>
      <c r="Q381">
        <v>8</v>
      </c>
      <c r="R381">
        <v>1</v>
      </c>
      <c r="S381">
        <v>9</v>
      </c>
      <c r="T381">
        <f t="shared" si="12"/>
        <v>1</v>
      </c>
    </row>
    <row r="382" spans="1:20" x14ac:dyDescent="0.2">
      <c r="A382">
        <v>381</v>
      </c>
      <c r="B382" t="s">
        <v>17</v>
      </c>
      <c r="C382" t="s">
        <v>512</v>
      </c>
      <c r="D382" t="s">
        <v>415</v>
      </c>
      <c r="E382">
        <v>19240305902</v>
      </c>
      <c r="F382" t="s">
        <v>35</v>
      </c>
      <c r="G382" t="s">
        <v>23</v>
      </c>
      <c r="H382" t="s">
        <v>41</v>
      </c>
      <c r="I382">
        <v>30</v>
      </c>
      <c r="J382">
        <v>37</v>
      </c>
      <c r="K382">
        <v>67</v>
      </c>
      <c r="L382">
        <v>45</v>
      </c>
      <c r="M382">
        <v>8</v>
      </c>
      <c r="N382">
        <v>9</v>
      </c>
      <c r="O382">
        <v>5</v>
      </c>
      <c r="P382">
        <v>5</v>
      </c>
      <c r="Q382">
        <v>0</v>
      </c>
      <c r="R382">
        <v>8</v>
      </c>
      <c r="S382">
        <v>8</v>
      </c>
      <c r="T382">
        <f t="shared" si="12"/>
        <v>0</v>
      </c>
    </row>
    <row r="383" spans="1:20" x14ac:dyDescent="0.2">
      <c r="A383">
        <v>382</v>
      </c>
      <c r="B383" t="s">
        <v>17</v>
      </c>
      <c r="C383" t="s">
        <v>512</v>
      </c>
      <c r="D383" t="s">
        <v>416</v>
      </c>
      <c r="E383">
        <v>19240306501</v>
      </c>
      <c r="F383" t="s">
        <v>36</v>
      </c>
      <c r="G383" t="s">
        <v>38</v>
      </c>
      <c r="H383" t="s">
        <v>42</v>
      </c>
      <c r="I383">
        <v>24</v>
      </c>
      <c r="J383">
        <v>24</v>
      </c>
      <c r="K383">
        <v>48</v>
      </c>
      <c r="L383">
        <v>28</v>
      </c>
      <c r="M383">
        <v>7</v>
      </c>
      <c r="N383">
        <v>6</v>
      </c>
      <c r="O383">
        <v>7</v>
      </c>
      <c r="P383">
        <v>6</v>
      </c>
      <c r="Q383">
        <v>2</v>
      </c>
      <c r="R383">
        <v>6</v>
      </c>
      <c r="S383">
        <v>8</v>
      </c>
      <c r="T383">
        <f t="shared" si="12"/>
        <v>0</v>
      </c>
    </row>
    <row r="384" spans="1:20" x14ac:dyDescent="0.2">
      <c r="A384">
        <v>383</v>
      </c>
      <c r="B384" t="s">
        <v>17</v>
      </c>
      <c r="C384" t="s">
        <v>512</v>
      </c>
      <c r="D384" t="s">
        <v>417</v>
      </c>
      <c r="E384">
        <v>19240306403</v>
      </c>
      <c r="F384" t="s">
        <v>36</v>
      </c>
      <c r="G384" t="s">
        <v>39</v>
      </c>
      <c r="H384" t="s">
        <v>41</v>
      </c>
      <c r="I384">
        <v>40</v>
      </c>
      <c r="J384">
        <v>32</v>
      </c>
      <c r="K384">
        <v>72</v>
      </c>
      <c r="L384">
        <v>47</v>
      </c>
      <c r="M384">
        <v>9</v>
      </c>
      <c r="N384">
        <v>10</v>
      </c>
      <c r="O384">
        <v>6</v>
      </c>
      <c r="P384">
        <v>10</v>
      </c>
      <c r="Q384">
        <v>3</v>
      </c>
      <c r="R384">
        <v>4</v>
      </c>
      <c r="S384">
        <v>7</v>
      </c>
      <c r="T384">
        <f t="shared" si="12"/>
        <v>0</v>
      </c>
    </row>
    <row r="385" spans="1:20" x14ac:dyDescent="0.2">
      <c r="A385">
        <v>384</v>
      </c>
      <c r="B385" t="s">
        <v>17</v>
      </c>
      <c r="C385" t="s">
        <v>512</v>
      </c>
      <c r="D385" t="s">
        <v>418</v>
      </c>
      <c r="E385">
        <v>19240301104</v>
      </c>
      <c r="F385" t="s">
        <v>36</v>
      </c>
      <c r="G385" t="s">
        <v>24</v>
      </c>
      <c r="H385" t="s">
        <v>42</v>
      </c>
      <c r="I385">
        <v>24</v>
      </c>
      <c r="J385">
        <v>36</v>
      </c>
      <c r="K385">
        <v>60</v>
      </c>
      <c r="L385">
        <v>37</v>
      </c>
      <c r="M385">
        <v>7</v>
      </c>
      <c r="N385">
        <v>9</v>
      </c>
      <c r="O385">
        <v>7</v>
      </c>
      <c r="P385">
        <v>5</v>
      </c>
      <c r="Q385">
        <v>7</v>
      </c>
      <c r="R385">
        <v>10</v>
      </c>
      <c r="S385">
        <v>17</v>
      </c>
      <c r="T385">
        <f t="shared" si="12"/>
        <v>0</v>
      </c>
    </row>
    <row r="386" spans="1:20" x14ac:dyDescent="0.2">
      <c r="A386">
        <v>385</v>
      </c>
      <c r="B386" t="s">
        <v>17</v>
      </c>
      <c r="C386" t="s">
        <v>512</v>
      </c>
      <c r="D386" t="s">
        <v>419</v>
      </c>
      <c r="E386">
        <v>19240301005</v>
      </c>
      <c r="F386" t="s">
        <v>35</v>
      </c>
      <c r="G386" t="s">
        <v>38</v>
      </c>
      <c r="H386" t="s">
        <v>43</v>
      </c>
      <c r="I386">
        <v>28</v>
      </c>
      <c r="J386">
        <v>20</v>
      </c>
      <c r="K386">
        <v>48</v>
      </c>
      <c r="L386">
        <v>29</v>
      </c>
      <c r="M386">
        <v>5</v>
      </c>
      <c r="N386">
        <v>6</v>
      </c>
      <c r="O386">
        <v>8</v>
      </c>
      <c r="P386">
        <v>10</v>
      </c>
      <c r="Q386">
        <v>0</v>
      </c>
      <c r="R386">
        <v>2</v>
      </c>
      <c r="S386">
        <v>2</v>
      </c>
      <c r="T386">
        <f t="shared" si="12"/>
        <v>0</v>
      </c>
    </row>
    <row r="387" spans="1:20" x14ac:dyDescent="0.2">
      <c r="A387">
        <v>386</v>
      </c>
      <c r="B387" t="s">
        <v>17</v>
      </c>
      <c r="C387" t="s">
        <v>510</v>
      </c>
      <c r="D387" t="s">
        <v>420</v>
      </c>
      <c r="E387">
        <v>19240200602</v>
      </c>
      <c r="F387" t="s">
        <v>36</v>
      </c>
      <c r="G387" t="s">
        <v>39</v>
      </c>
      <c r="H387" t="s">
        <v>42</v>
      </c>
      <c r="I387">
        <v>28</v>
      </c>
      <c r="J387">
        <v>28</v>
      </c>
      <c r="K387">
        <v>56</v>
      </c>
      <c r="L387">
        <v>31</v>
      </c>
      <c r="M387">
        <v>8</v>
      </c>
      <c r="N387">
        <v>10</v>
      </c>
      <c r="O387">
        <v>7</v>
      </c>
      <c r="P387">
        <v>10</v>
      </c>
      <c r="Q387">
        <v>5</v>
      </c>
      <c r="R387">
        <v>8</v>
      </c>
      <c r="S387">
        <v>13</v>
      </c>
      <c r="T387">
        <f t="shared" si="12"/>
        <v>1</v>
      </c>
    </row>
    <row r="388" spans="1:20" x14ac:dyDescent="0.2">
      <c r="A388">
        <v>387</v>
      </c>
      <c r="B388" t="s">
        <v>17</v>
      </c>
      <c r="C388" t="s">
        <v>512</v>
      </c>
      <c r="D388" t="s">
        <v>421</v>
      </c>
      <c r="E388">
        <v>19240305802</v>
      </c>
      <c r="F388" t="s">
        <v>37</v>
      </c>
      <c r="G388" t="s">
        <v>24</v>
      </c>
      <c r="H388" t="s">
        <v>42</v>
      </c>
      <c r="I388">
        <v>33</v>
      </c>
      <c r="J388">
        <v>39</v>
      </c>
      <c r="K388">
        <v>72</v>
      </c>
      <c r="L388">
        <v>49</v>
      </c>
      <c r="M388">
        <v>8</v>
      </c>
      <c r="N388">
        <v>9</v>
      </c>
      <c r="O388">
        <v>6</v>
      </c>
      <c r="P388">
        <v>7</v>
      </c>
      <c r="Q388">
        <v>5</v>
      </c>
      <c r="R388">
        <v>4</v>
      </c>
      <c r="S388">
        <v>9</v>
      </c>
      <c r="T388">
        <f t="shared" si="12"/>
        <v>0</v>
      </c>
    </row>
    <row r="389" spans="1:20" x14ac:dyDescent="0.2">
      <c r="A389">
        <v>388</v>
      </c>
      <c r="B389" t="s">
        <v>17</v>
      </c>
      <c r="C389" t="s">
        <v>512</v>
      </c>
      <c r="D389" t="s">
        <v>422</v>
      </c>
      <c r="E389">
        <v>19240305803</v>
      </c>
      <c r="F389" t="s">
        <v>35</v>
      </c>
      <c r="G389" t="s">
        <v>24</v>
      </c>
      <c r="H389" t="s">
        <v>44</v>
      </c>
      <c r="I389">
        <v>20</v>
      </c>
      <c r="J389">
        <v>34</v>
      </c>
      <c r="K389">
        <v>54</v>
      </c>
      <c r="L389">
        <v>31</v>
      </c>
      <c r="M389">
        <v>9</v>
      </c>
      <c r="N389">
        <v>9</v>
      </c>
      <c r="O389">
        <v>5</v>
      </c>
      <c r="P389">
        <v>8</v>
      </c>
      <c r="Q389">
        <v>9</v>
      </c>
      <c r="R389">
        <v>4</v>
      </c>
      <c r="S389">
        <v>13</v>
      </c>
      <c r="T389">
        <f t="shared" ref="T389:T450" si="13">IF(SUM(M389:P389) &gt; L389, 1, 0)</f>
        <v>0</v>
      </c>
    </row>
    <row r="390" spans="1:20" x14ac:dyDescent="0.2">
      <c r="A390">
        <v>389</v>
      </c>
      <c r="B390" t="s">
        <v>17</v>
      </c>
      <c r="C390" t="s">
        <v>512</v>
      </c>
      <c r="D390" t="s">
        <v>423</v>
      </c>
      <c r="E390">
        <v>19240305002</v>
      </c>
      <c r="F390" t="s">
        <v>37</v>
      </c>
      <c r="G390" t="s">
        <v>23</v>
      </c>
      <c r="H390" t="s">
        <v>43</v>
      </c>
      <c r="I390">
        <v>37</v>
      </c>
      <c r="J390">
        <v>29</v>
      </c>
      <c r="K390">
        <v>66</v>
      </c>
      <c r="L390">
        <v>49</v>
      </c>
      <c r="M390">
        <v>6</v>
      </c>
      <c r="N390">
        <v>5</v>
      </c>
      <c r="O390">
        <v>6</v>
      </c>
      <c r="P390">
        <v>5</v>
      </c>
      <c r="Q390">
        <v>6</v>
      </c>
      <c r="R390">
        <v>4</v>
      </c>
      <c r="S390">
        <v>10</v>
      </c>
      <c r="T390">
        <f t="shared" si="13"/>
        <v>0</v>
      </c>
    </row>
    <row r="391" spans="1:20" x14ac:dyDescent="0.2">
      <c r="A391">
        <v>390</v>
      </c>
      <c r="B391" t="s">
        <v>17</v>
      </c>
      <c r="C391" t="s">
        <v>512</v>
      </c>
      <c r="D391" t="s">
        <v>424</v>
      </c>
      <c r="E391">
        <v>19240202702</v>
      </c>
      <c r="F391" t="s">
        <v>36</v>
      </c>
      <c r="G391" t="s">
        <v>40</v>
      </c>
      <c r="H391" t="s">
        <v>42</v>
      </c>
      <c r="I391">
        <v>27</v>
      </c>
      <c r="J391">
        <v>25</v>
      </c>
      <c r="K391">
        <v>52</v>
      </c>
      <c r="L391">
        <v>26</v>
      </c>
      <c r="M391">
        <v>9</v>
      </c>
      <c r="N391">
        <v>7</v>
      </c>
      <c r="O391">
        <v>10</v>
      </c>
      <c r="P391">
        <v>7</v>
      </c>
      <c r="Q391">
        <v>3</v>
      </c>
      <c r="R391">
        <v>5</v>
      </c>
      <c r="S391">
        <v>8</v>
      </c>
      <c r="T391">
        <f t="shared" si="13"/>
        <v>1</v>
      </c>
    </row>
    <row r="392" spans="1:20" x14ac:dyDescent="0.2">
      <c r="A392">
        <v>391</v>
      </c>
      <c r="B392" t="s">
        <v>17</v>
      </c>
      <c r="C392" t="s">
        <v>512</v>
      </c>
      <c r="D392" t="s">
        <v>425</v>
      </c>
      <c r="E392">
        <v>19240306002</v>
      </c>
      <c r="F392" t="s">
        <v>35</v>
      </c>
      <c r="G392" t="s">
        <v>23</v>
      </c>
      <c r="H392" t="s">
        <v>41</v>
      </c>
      <c r="I392">
        <v>32</v>
      </c>
      <c r="J392">
        <v>27</v>
      </c>
      <c r="K392">
        <v>59</v>
      </c>
      <c r="L392">
        <v>35</v>
      </c>
      <c r="M392">
        <v>10</v>
      </c>
      <c r="N392">
        <v>5</v>
      </c>
      <c r="O392">
        <v>9</v>
      </c>
      <c r="P392">
        <v>6</v>
      </c>
      <c r="Q392">
        <v>8</v>
      </c>
      <c r="R392">
        <v>4</v>
      </c>
      <c r="S392">
        <v>12</v>
      </c>
      <c r="T392">
        <f t="shared" si="13"/>
        <v>0</v>
      </c>
    </row>
    <row r="393" spans="1:20" x14ac:dyDescent="0.2">
      <c r="A393">
        <v>392</v>
      </c>
      <c r="B393" t="s">
        <v>17</v>
      </c>
      <c r="C393" t="s">
        <v>512</v>
      </c>
      <c r="D393" t="s">
        <v>426</v>
      </c>
      <c r="E393">
        <v>19240303402</v>
      </c>
      <c r="F393" t="s">
        <v>36</v>
      </c>
      <c r="G393" t="s">
        <v>38</v>
      </c>
      <c r="H393" t="s">
        <v>42</v>
      </c>
      <c r="I393">
        <v>32</v>
      </c>
      <c r="J393">
        <v>27</v>
      </c>
      <c r="K393">
        <v>59</v>
      </c>
      <c r="L393">
        <v>39</v>
      </c>
      <c r="M393">
        <v>5</v>
      </c>
      <c r="N393">
        <v>8</v>
      </c>
      <c r="O393">
        <v>7</v>
      </c>
      <c r="P393">
        <v>9</v>
      </c>
      <c r="Q393">
        <v>10</v>
      </c>
      <c r="R393">
        <v>2</v>
      </c>
      <c r="S393">
        <v>12</v>
      </c>
      <c r="T393">
        <f t="shared" si="13"/>
        <v>0</v>
      </c>
    </row>
    <row r="394" spans="1:20" x14ac:dyDescent="0.2">
      <c r="A394">
        <v>393</v>
      </c>
      <c r="B394" t="s">
        <v>17</v>
      </c>
      <c r="C394" t="s">
        <v>512</v>
      </c>
      <c r="D394" t="s">
        <v>427</v>
      </c>
      <c r="E394">
        <v>19240307601</v>
      </c>
      <c r="F394" t="s">
        <v>36</v>
      </c>
      <c r="G394" t="s">
        <v>39</v>
      </c>
      <c r="H394" t="s">
        <v>41</v>
      </c>
      <c r="I394">
        <v>34</v>
      </c>
      <c r="J394">
        <v>20</v>
      </c>
      <c r="K394">
        <v>54</v>
      </c>
      <c r="L394">
        <v>31</v>
      </c>
      <c r="M394">
        <v>7</v>
      </c>
      <c r="N394">
        <v>10</v>
      </c>
      <c r="O394">
        <v>6</v>
      </c>
      <c r="P394">
        <v>6</v>
      </c>
      <c r="Q394">
        <v>3</v>
      </c>
      <c r="R394">
        <v>5</v>
      </c>
      <c r="S394">
        <v>8</v>
      </c>
      <c r="T394">
        <f>IF(SUM(M394:P394) &gt; L394, 1, 0)</f>
        <v>0</v>
      </c>
    </row>
    <row r="395" spans="1:20" x14ac:dyDescent="0.2">
      <c r="A395">
        <v>394</v>
      </c>
      <c r="B395" t="s">
        <v>17</v>
      </c>
      <c r="C395" t="s">
        <v>512</v>
      </c>
      <c r="D395" t="s">
        <v>428</v>
      </c>
      <c r="E395">
        <v>19240304102</v>
      </c>
      <c r="F395" t="s">
        <v>36</v>
      </c>
      <c r="G395" t="s">
        <v>24</v>
      </c>
      <c r="H395" t="s">
        <v>42</v>
      </c>
      <c r="I395">
        <v>28</v>
      </c>
      <c r="J395">
        <v>37</v>
      </c>
      <c r="K395">
        <v>65</v>
      </c>
      <c r="L395">
        <v>47</v>
      </c>
      <c r="M395">
        <v>5</v>
      </c>
      <c r="N395">
        <v>7</v>
      </c>
      <c r="O395">
        <v>6</v>
      </c>
      <c r="P395">
        <v>5</v>
      </c>
      <c r="Q395">
        <v>3</v>
      </c>
      <c r="R395">
        <v>7</v>
      </c>
      <c r="S395">
        <v>10</v>
      </c>
      <c r="T395">
        <f t="shared" ref="T395:T439" si="14">IF(SUM(M395:P395) &gt; L395, 1, 0)</f>
        <v>0</v>
      </c>
    </row>
    <row r="396" spans="1:20" x14ac:dyDescent="0.2">
      <c r="A396">
        <v>395</v>
      </c>
      <c r="B396" t="s">
        <v>17</v>
      </c>
      <c r="C396" t="s">
        <v>512</v>
      </c>
      <c r="D396" t="s">
        <v>429</v>
      </c>
      <c r="E396">
        <v>19240302807</v>
      </c>
      <c r="F396" t="s">
        <v>35</v>
      </c>
      <c r="G396" t="s">
        <v>38</v>
      </c>
      <c r="H396" t="s">
        <v>43</v>
      </c>
      <c r="I396">
        <v>40</v>
      </c>
      <c r="J396">
        <v>23</v>
      </c>
      <c r="K396">
        <v>63</v>
      </c>
      <c r="L396">
        <v>38</v>
      </c>
      <c r="M396">
        <v>5</v>
      </c>
      <c r="N396">
        <v>10</v>
      </c>
      <c r="O396">
        <v>10</v>
      </c>
      <c r="P396">
        <v>8</v>
      </c>
      <c r="Q396">
        <v>4</v>
      </c>
      <c r="R396">
        <v>4</v>
      </c>
      <c r="S396">
        <v>8</v>
      </c>
      <c r="T396">
        <f t="shared" si="14"/>
        <v>0</v>
      </c>
    </row>
    <row r="397" spans="1:20" x14ac:dyDescent="0.2">
      <c r="A397">
        <v>396</v>
      </c>
      <c r="B397" t="s">
        <v>17</v>
      </c>
      <c r="C397" t="s">
        <v>510</v>
      </c>
      <c r="D397" t="s">
        <v>430</v>
      </c>
      <c r="E397">
        <v>19240200201</v>
      </c>
      <c r="F397" t="s">
        <v>36</v>
      </c>
      <c r="G397" t="s">
        <v>39</v>
      </c>
      <c r="H397" t="s">
        <v>42</v>
      </c>
      <c r="I397">
        <v>20</v>
      </c>
      <c r="J397">
        <v>33</v>
      </c>
      <c r="K397">
        <v>53</v>
      </c>
      <c r="L397">
        <v>29</v>
      </c>
      <c r="M397">
        <v>9</v>
      </c>
      <c r="N397">
        <v>6</v>
      </c>
      <c r="O397">
        <v>9</v>
      </c>
      <c r="P397">
        <v>6</v>
      </c>
      <c r="Q397">
        <v>1</v>
      </c>
      <c r="R397">
        <v>8</v>
      </c>
      <c r="S397">
        <v>9</v>
      </c>
      <c r="T397">
        <f t="shared" si="14"/>
        <v>1</v>
      </c>
    </row>
    <row r="398" spans="1:20" x14ac:dyDescent="0.2">
      <c r="A398">
        <v>397</v>
      </c>
      <c r="B398" t="s">
        <v>17</v>
      </c>
      <c r="C398" t="s">
        <v>512</v>
      </c>
      <c r="D398" t="s">
        <v>431</v>
      </c>
      <c r="E398">
        <v>19240307701</v>
      </c>
      <c r="F398" t="s">
        <v>37</v>
      </c>
      <c r="G398" t="s">
        <v>24</v>
      </c>
      <c r="H398" t="s">
        <v>42</v>
      </c>
      <c r="I398">
        <v>27</v>
      </c>
      <c r="J398">
        <v>37</v>
      </c>
      <c r="K398">
        <v>64</v>
      </c>
      <c r="L398">
        <v>47</v>
      </c>
      <c r="M398">
        <v>7</v>
      </c>
      <c r="N398">
        <v>5</v>
      </c>
      <c r="O398">
        <v>5</v>
      </c>
      <c r="P398">
        <v>9</v>
      </c>
      <c r="Q398">
        <v>2</v>
      </c>
      <c r="R398">
        <v>7</v>
      </c>
      <c r="S398">
        <v>9</v>
      </c>
      <c r="T398">
        <f t="shared" si="14"/>
        <v>0</v>
      </c>
    </row>
    <row r="399" spans="1:20" x14ac:dyDescent="0.2">
      <c r="A399">
        <v>398</v>
      </c>
      <c r="B399" t="s">
        <v>17</v>
      </c>
      <c r="C399" t="s">
        <v>512</v>
      </c>
      <c r="D399" t="s">
        <v>432</v>
      </c>
      <c r="E399">
        <v>19240304807</v>
      </c>
      <c r="F399" t="s">
        <v>35</v>
      </c>
      <c r="G399" t="s">
        <v>24</v>
      </c>
      <c r="H399" t="s">
        <v>44</v>
      </c>
      <c r="I399">
        <v>26</v>
      </c>
      <c r="J399">
        <v>24</v>
      </c>
      <c r="K399">
        <v>50</v>
      </c>
      <c r="L399">
        <v>30</v>
      </c>
      <c r="M399">
        <v>7</v>
      </c>
      <c r="N399">
        <v>7</v>
      </c>
      <c r="O399">
        <v>6</v>
      </c>
      <c r="P399">
        <v>8</v>
      </c>
      <c r="Q399">
        <v>9</v>
      </c>
      <c r="R399">
        <v>0</v>
      </c>
      <c r="S399">
        <v>9</v>
      </c>
      <c r="T399">
        <f t="shared" si="14"/>
        <v>0</v>
      </c>
    </row>
    <row r="400" spans="1:20" x14ac:dyDescent="0.2">
      <c r="A400">
        <v>399</v>
      </c>
      <c r="B400" t="s">
        <v>17</v>
      </c>
      <c r="C400" t="s">
        <v>512</v>
      </c>
      <c r="D400" t="s">
        <v>433</v>
      </c>
      <c r="E400">
        <v>19240304303</v>
      </c>
      <c r="F400" t="s">
        <v>37</v>
      </c>
      <c r="G400" t="s">
        <v>23</v>
      </c>
      <c r="H400" t="s">
        <v>43</v>
      </c>
      <c r="I400">
        <v>28</v>
      </c>
      <c r="J400">
        <v>40</v>
      </c>
      <c r="K400">
        <v>68</v>
      </c>
      <c r="L400">
        <v>46</v>
      </c>
      <c r="M400">
        <v>9</v>
      </c>
      <c r="N400">
        <v>6</v>
      </c>
      <c r="O400">
        <v>7</v>
      </c>
      <c r="P400">
        <v>7</v>
      </c>
      <c r="Q400">
        <v>10</v>
      </c>
      <c r="R400">
        <v>2</v>
      </c>
      <c r="S400">
        <v>12</v>
      </c>
      <c r="T400">
        <f t="shared" si="14"/>
        <v>0</v>
      </c>
    </row>
    <row r="401" spans="1:20" x14ac:dyDescent="0.2">
      <c r="A401">
        <v>400</v>
      </c>
      <c r="B401" t="s">
        <v>17</v>
      </c>
      <c r="C401" t="s">
        <v>512</v>
      </c>
      <c r="D401" t="s">
        <v>434</v>
      </c>
      <c r="E401">
        <v>19240307801</v>
      </c>
      <c r="F401" t="s">
        <v>36</v>
      </c>
      <c r="G401" t="s">
        <v>40</v>
      </c>
      <c r="H401" t="s">
        <v>42</v>
      </c>
      <c r="I401">
        <v>38</v>
      </c>
      <c r="J401">
        <v>20</v>
      </c>
      <c r="K401">
        <v>58</v>
      </c>
      <c r="L401">
        <v>37</v>
      </c>
      <c r="M401">
        <v>10</v>
      </c>
      <c r="N401">
        <v>5</v>
      </c>
      <c r="O401">
        <v>6</v>
      </c>
      <c r="P401">
        <v>7</v>
      </c>
      <c r="Q401">
        <v>9</v>
      </c>
      <c r="R401">
        <v>6</v>
      </c>
      <c r="S401">
        <v>15</v>
      </c>
      <c r="T401">
        <f t="shared" si="14"/>
        <v>0</v>
      </c>
    </row>
    <row r="402" spans="1:20" x14ac:dyDescent="0.2">
      <c r="A402">
        <v>401</v>
      </c>
      <c r="B402" t="s">
        <v>17</v>
      </c>
      <c r="C402" t="s">
        <v>512</v>
      </c>
      <c r="D402" t="s">
        <v>435</v>
      </c>
      <c r="E402">
        <v>19240304703</v>
      </c>
      <c r="F402" t="s">
        <v>35</v>
      </c>
      <c r="G402" t="s">
        <v>23</v>
      </c>
      <c r="H402" t="s">
        <v>41</v>
      </c>
      <c r="I402">
        <v>26</v>
      </c>
      <c r="J402">
        <v>23</v>
      </c>
      <c r="K402">
        <v>49</v>
      </c>
      <c r="L402">
        <v>25</v>
      </c>
      <c r="M402">
        <v>8</v>
      </c>
      <c r="N402">
        <v>7</v>
      </c>
      <c r="O402">
        <v>9</v>
      </c>
      <c r="P402">
        <v>8</v>
      </c>
      <c r="Q402">
        <v>3</v>
      </c>
      <c r="R402">
        <v>6</v>
      </c>
      <c r="S402">
        <v>9</v>
      </c>
      <c r="T402">
        <f t="shared" si="14"/>
        <v>1</v>
      </c>
    </row>
    <row r="403" spans="1:20" x14ac:dyDescent="0.2">
      <c r="A403">
        <v>402</v>
      </c>
      <c r="B403" t="s">
        <v>17</v>
      </c>
      <c r="C403" t="s">
        <v>512</v>
      </c>
      <c r="D403" t="s">
        <v>436</v>
      </c>
      <c r="E403">
        <v>19240301804</v>
      </c>
      <c r="F403" t="s">
        <v>36</v>
      </c>
      <c r="G403" t="s">
        <v>38</v>
      </c>
      <c r="H403" t="s">
        <v>42</v>
      </c>
      <c r="I403">
        <v>35</v>
      </c>
      <c r="J403">
        <v>21</v>
      </c>
      <c r="K403">
        <v>56</v>
      </c>
      <c r="L403">
        <v>36</v>
      </c>
      <c r="M403">
        <v>8</v>
      </c>
      <c r="N403">
        <v>7</v>
      </c>
      <c r="O403">
        <v>5</v>
      </c>
      <c r="P403">
        <v>6</v>
      </c>
      <c r="Q403">
        <v>6</v>
      </c>
      <c r="R403">
        <v>9</v>
      </c>
      <c r="S403">
        <v>15</v>
      </c>
      <c r="T403">
        <f t="shared" si="14"/>
        <v>0</v>
      </c>
    </row>
    <row r="404" spans="1:20" x14ac:dyDescent="0.2">
      <c r="A404">
        <v>403</v>
      </c>
      <c r="B404" t="s">
        <v>17</v>
      </c>
      <c r="C404" t="s">
        <v>512</v>
      </c>
      <c r="D404" t="s">
        <v>437</v>
      </c>
      <c r="E404">
        <v>19240301702</v>
      </c>
      <c r="F404" t="s">
        <v>36</v>
      </c>
      <c r="G404" t="s">
        <v>39</v>
      </c>
      <c r="H404" t="s">
        <v>41</v>
      </c>
      <c r="I404">
        <v>33</v>
      </c>
      <c r="J404">
        <v>24</v>
      </c>
      <c r="K404">
        <v>57</v>
      </c>
      <c r="L404">
        <v>30</v>
      </c>
      <c r="M404">
        <v>10</v>
      </c>
      <c r="N404">
        <v>9</v>
      </c>
      <c r="O404">
        <v>8</v>
      </c>
      <c r="P404">
        <v>8</v>
      </c>
      <c r="Q404">
        <v>0</v>
      </c>
      <c r="R404">
        <v>5</v>
      </c>
      <c r="S404">
        <v>5</v>
      </c>
      <c r="T404">
        <f t="shared" si="14"/>
        <v>1</v>
      </c>
    </row>
    <row r="405" spans="1:20" x14ac:dyDescent="0.2">
      <c r="A405">
        <v>404</v>
      </c>
      <c r="B405" t="s">
        <v>17</v>
      </c>
      <c r="C405" t="s">
        <v>512</v>
      </c>
      <c r="D405" t="s">
        <v>438</v>
      </c>
      <c r="E405">
        <v>19240305102</v>
      </c>
      <c r="F405" t="s">
        <v>36</v>
      </c>
      <c r="G405" t="s">
        <v>24</v>
      </c>
      <c r="H405" t="s">
        <v>42</v>
      </c>
      <c r="I405">
        <v>39</v>
      </c>
      <c r="J405">
        <v>36</v>
      </c>
      <c r="K405">
        <v>75</v>
      </c>
      <c r="L405">
        <v>51</v>
      </c>
      <c r="M405">
        <v>9</v>
      </c>
      <c r="N405">
        <v>8</v>
      </c>
      <c r="O405">
        <v>7</v>
      </c>
      <c r="P405">
        <v>6</v>
      </c>
      <c r="Q405">
        <v>5</v>
      </c>
      <c r="R405">
        <v>3</v>
      </c>
      <c r="S405">
        <v>8</v>
      </c>
      <c r="T405">
        <f t="shared" si="14"/>
        <v>0</v>
      </c>
    </row>
    <row r="406" spans="1:20" x14ac:dyDescent="0.2">
      <c r="A406">
        <v>405</v>
      </c>
      <c r="B406" t="s">
        <v>17</v>
      </c>
      <c r="C406" t="s">
        <v>512</v>
      </c>
      <c r="D406" t="s">
        <v>439</v>
      </c>
      <c r="E406">
        <v>19240306604</v>
      </c>
      <c r="F406" t="s">
        <v>35</v>
      </c>
      <c r="G406" t="s">
        <v>38</v>
      </c>
      <c r="H406" t="s">
        <v>43</v>
      </c>
      <c r="I406">
        <v>37</v>
      </c>
      <c r="J406">
        <v>35</v>
      </c>
      <c r="K406">
        <v>72</v>
      </c>
      <c r="L406">
        <v>51</v>
      </c>
      <c r="M406">
        <v>7</v>
      </c>
      <c r="N406">
        <v>6</v>
      </c>
      <c r="O406">
        <v>8</v>
      </c>
      <c r="P406">
        <v>9</v>
      </c>
      <c r="Q406">
        <v>7</v>
      </c>
      <c r="R406">
        <v>7</v>
      </c>
      <c r="S406">
        <v>14</v>
      </c>
      <c r="T406">
        <f t="shared" si="14"/>
        <v>0</v>
      </c>
    </row>
    <row r="407" spans="1:20" x14ac:dyDescent="0.2">
      <c r="A407">
        <v>406</v>
      </c>
      <c r="B407" t="s">
        <v>17</v>
      </c>
      <c r="C407" t="s">
        <v>512</v>
      </c>
      <c r="D407" t="s">
        <v>440</v>
      </c>
      <c r="E407">
        <v>19240307202</v>
      </c>
      <c r="F407" t="s">
        <v>36</v>
      </c>
      <c r="G407" t="s">
        <v>39</v>
      </c>
      <c r="H407" t="s">
        <v>42</v>
      </c>
      <c r="I407">
        <v>30</v>
      </c>
      <c r="J407">
        <v>30</v>
      </c>
      <c r="K407">
        <v>60</v>
      </c>
      <c r="L407">
        <v>34</v>
      </c>
      <c r="M407">
        <v>9</v>
      </c>
      <c r="N407">
        <v>7</v>
      </c>
      <c r="O407">
        <v>10</v>
      </c>
      <c r="P407">
        <v>9</v>
      </c>
      <c r="Q407">
        <v>4</v>
      </c>
      <c r="R407">
        <v>1</v>
      </c>
      <c r="S407">
        <v>5</v>
      </c>
      <c r="T407">
        <f t="shared" si="14"/>
        <v>1</v>
      </c>
    </row>
    <row r="408" spans="1:20" x14ac:dyDescent="0.2">
      <c r="A408">
        <v>407</v>
      </c>
      <c r="B408" t="s">
        <v>17</v>
      </c>
      <c r="C408" t="s">
        <v>512</v>
      </c>
      <c r="D408" t="s">
        <v>441</v>
      </c>
      <c r="E408">
        <v>19240301202</v>
      </c>
      <c r="F408" t="s">
        <v>37</v>
      </c>
      <c r="G408" t="s">
        <v>24</v>
      </c>
      <c r="H408" t="s">
        <v>42</v>
      </c>
      <c r="I408">
        <v>23</v>
      </c>
      <c r="J408">
        <v>40</v>
      </c>
      <c r="K408">
        <v>63</v>
      </c>
      <c r="L408">
        <v>40</v>
      </c>
      <c r="M408">
        <v>10</v>
      </c>
      <c r="N408">
        <v>5</v>
      </c>
      <c r="O408">
        <v>8</v>
      </c>
      <c r="P408">
        <v>8</v>
      </c>
      <c r="Q408">
        <v>1</v>
      </c>
      <c r="R408">
        <v>0</v>
      </c>
      <c r="S408">
        <v>1</v>
      </c>
      <c r="T408">
        <f t="shared" si="14"/>
        <v>0</v>
      </c>
    </row>
    <row r="409" spans="1:20" x14ac:dyDescent="0.2">
      <c r="A409">
        <v>408</v>
      </c>
      <c r="B409" t="s">
        <v>17</v>
      </c>
      <c r="C409" t="s">
        <v>512</v>
      </c>
      <c r="D409" t="s">
        <v>442</v>
      </c>
      <c r="E409">
        <v>19240300502</v>
      </c>
      <c r="F409" t="s">
        <v>35</v>
      </c>
      <c r="G409" t="s">
        <v>24</v>
      </c>
      <c r="H409" t="s">
        <v>44</v>
      </c>
      <c r="I409">
        <v>20</v>
      </c>
      <c r="J409">
        <v>23</v>
      </c>
      <c r="K409">
        <v>43</v>
      </c>
      <c r="L409">
        <v>21</v>
      </c>
      <c r="M409">
        <v>8</v>
      </c>
      <c r="N409">
        <v>8</v>
      </c>
      <c r="O409">
        <v>6</v>
      </c>
      <c r="P409">
        <v>5</v>
      </c>
      <c r="Q409">
        <v>2</v>
      </c>
      <c r="R409">
        <v>6</v>
      </c>
      <c r="S409">
        <v>8</v>
      </c>
      <c r="T409">
        <f t="shared" si="14"/>
        <v>1</v>
      </c>
    </row>
    <row r="410" spans="1:20" x14ac:dyDescent="0.2">
      <c r="A410">
        <v>409</v>
      </c>
      <c r="B410" t="s">
        <v>17</v>
      </c>
      <c r="C410" t="s">
        <v>512</v>
      </c>
      <c r="D410" t="s">
        <v>443</v>
      </c>
      <c r="E410">
        <v>19240305202</v>
      </c>
      <c r="F410" t="s">
        <v>37</v>
      </c>
      <c r="G410" t="s">
        <v>23</v>
      </c>
      <c r="H410" t="s">
        <v>43</v>
      </c>
      <c r="I410">
        <v>37</v>
      </c>
      <c r="J410">
        <v>33</v>
      </c>
      <c r="K410">
        <v>70</v>
      </c>
      <c r="L410">
        <v>46</v>
      </c>
      <c r="M410">
        <v>9</v>
      </c>
      <c r="N410">
        <v>7</v>
      </c>
      <c r="O410">
        <v>8</v>
      </c>
      <c r="P410">
        <v>7</v>
      </c>
      <c r="Q410">
        <v>10</v>
      </c>
      <c r="R410">
        <v>0</v>
      </c>
      <c r="S410">
        <v>10</v>
      </c>
      <c r="T410">
        <f t="shared" si="14"/>
        <v>0</v>
      </c>
    </row>
    <row r="411" spans="1:20" x14ac:dyDescent="0.2">
      <c r="A411">
        <v>410</v>
      </c>
      <c r="B411" t="s">
        <v>17</v>
      </c>
      <c r="C411" t="s">
        <v>512</v>
      </c>
      <c r="D411" t="s">
        <v>444</v>
      </c>
      <c r="E411">
        <v>19240305503</v>
      </c>
      <c r="F411" t="s">
        <v>36</v>
      </c>
      <c r="G411" t="s">
        <v>40</v>
      </c>
      <c r="H411" t="s">
        <v>42</v>
      </c>
      <c r="I411">
        <v>37</v>
      </c>
      <c r="J411">
        <v>21</v>
      </c>
      <c r="K411">
        <v>58</v>
      </c>
      <c r="L411">
        <v>33</v>
      </c>
      <c r="M411">
        <v>10</v>
      </c>
      <c r="N411">
        <v>9</v>
      </c>
      <c r="O411">
        <v>6</v>
      </c>
      <c r="P411">
        <v>5</v>
      </c>
      <c r="Q411">
        <v>5</v>
      </c>
      <c r="R411">
        <v>4</v>
      </c>
      <c r="S411">
        <v>9</v>
      </c>
      <c r="T411">
        <f t="shared" si="14"/>
        <v>0</v>
      </c>
    </row>
    <row r="412" spans="1:20" x14ac:dyDescent="0.2">
      <c r="A412">
        <v>411</v>
      </c>
      <c r="B412" t="s">
        <v>17</v>
      </c>
      <c r="C412" t="s">
        <v>512</v>
      </c>
      <c r="D412" t="s">
        <v>445</v>
      </c>
      <c r="E412">
        <v>19240302502</v>
      </c>
      <c r="F412" t="s">
        <v>35</v>
      </c>
      <c r="G412" t="s">
        <v>23</v>
      </c>
      <c r="H412" t="s">
        <v>41</v>
      </c>
      <c r="I412">
        <v>20</v>
      </c>
      <c r="J412">
        <v>30</v>
      </c>
      <c r="K412">
        <v>50</v>
      </c>
      <c r="L412">
        <v>30</v>
      </c>
      <c r="M412">
        <v>5</v>
      </c>
      <c r="N412">
        <v>8</v>
      </c>
      <c r="O412">
        <v>7</v>
      </c>
      <c r="P412">
        <v>9</v>
      </c>
      <c r="Q412">
        <v>6</v>
      </c>
      <c r="R412">
        <v>3</v>
      </c>
      <c r="S412">
        <v>9</v>
      </c>
      <c r="T412">
        <f t="shared" si="14"/>
        <v>0</v>
      </c>
    </row>
    <row r="413" spans="1:20" x14ac:dyDescent="0.2">
      <c r="A413">
        <v>412</v>
      </c>
      <c r="B413" t="s">
        <v>17</v>
      </c>
      <c r="C413" t="s">
        <v>512</v>
      </c>
      <c r="D413" t="s">
        <v>446</v>
      </c>
      <c r="E413">
        <v>19240306003</v>
      </c>
      <c r="F413" t="s">
        <v>36</v>
      </c>
      <c r="G413" t="s">
        <v>38</v>
      </c>
      <c r="H413" t="s">
        <v>42</v>
      </c>
      <c r="I413">
        <v>20</v>
      </c>
      <c r="J413">
        <v>31</v>
      </c>
      <c r="K413">
        <v>51</v>
      </c>
      <c r="L413">
        <v>26</v>
      </c>
      <c r="M413">
        <v>6</v>
      </c>
      <c r="N413">
        <v>9</v>
      </c>
      <c r="O413">
        <v>10</v>
      </c>
      <c r="P413">
        <v>7</v>
      </c>
      <c r="Q413">
        <v>9</v>
      </c>
      <c r="R413">
        <v>3</v>
      </c>
      <c r="S413">
        <v>12</v>
      </c>
      <c r="T413">
        <f t="shared" si="14"/>
        <v>1</v>
      </c>
    </row>
    <row r="414" spans="1:20" x14ac:dyDescent="0.2">
      <c r="A414">
        <v>413</v>
      </c>
      <c r="B414" t="s">
        <v>17</v>
      </c>
      <c r="C414" t="s">
        <v>512</v>
      </c>
      <c r="D414" t="s">
        <v>447</v>
      </c>
      <c r="E414">
        <v>19240306801</v>
      </c>
      <c r="F414" t="s">
        <v>36</v>
      </c>
      <c r="G414" t="s">
        <v>39</v>
      </c>
      <c r="H414" t="s">
        <v>41</v>
      </c>
      <c r="I414">
        <v>29</v>
      </c>
      <c r="J414">
        <v>38</v>
      </c>
      <c r="K414">
        <v>67</v>
      </c>
      <c r="L414">
        <v>48</v>
      </c>
      <c r="M414">
        <v>5</v>
      </c>
      <c r="N414">
        <v>6</v>
      </c>
      <c r="O414">
        <v>8</v>
      </c>
      <c r="P414">
        <v>5</v>
      </c>
      <c r="Q414">
        <v>0</v>
      </c>
      <c r="R414">
        <v>1</v>
      </c>
      <c r="S414">
        <v>1</v>
      </c>
      <c r="T414">
        <f t="shared" si="14"/>
        <v>0</v>
      </c>
    </row>
    <row r="415" spans="1:20" x14ac:dyDescent="0.2">
      <c r="A415">
        <v>414</v>
      </c>
      <c r="B415" t="s">
        <v>17</v>
      </c>
      <c r="C415" t="s">
        <v>512</v>
      </c>
      <c r="D415" t="s">
        <v>448</v>
      </c>
      <c r="E415">
        <v>19240307802</v>
      </c>
      <c r="F415" t="s">
        <v>36</v>
      </c>
      <c r="G415" t="s">
        <v>24</v>
      </c>
      <c r="H415" t="s">
        <v>42</v>
      </c>
      <c r="I415">
        <v>23</v>
      </c>
      <c r="J415">
        <v>22</v>
      </c>
      <c r="K415">
        <v>45</v>
      </c>
      <c r="L415">
        <v>25</v>
      </c>
      <c r="M415">
        <v>5</v>
      </c>
      <c r="N415">
        <v>10</v>
      </c>
      <c r="O415">
        <v>5</v>
      </c>
      <c r="P415">
        <v>7</v>
      </c>
      <c r="Q415">
        <v>2</v>
      </c>
      <c r="R415">
        <v>1</v>
      </c>
      <c r="S415">
        <v>3</v>
      </c>
      <c r="T415">
        <f t="shared" si="14"/>
        <v>1</v>
      </c>
    </row>
    <row r="416" spans="1:20" x14ac:dyDescent="0.2">
      <c r="A416">
        <v>415</v>
      </c>
      <c r="B416" t="s">
        <v>17</v>
      </c>
      <c r="C416" t="s">
        <v>512</v>
      </c>
      <c r="D416" t="s">
        <v>449</v>
      </c>
      <c r="E416">
        <v>19240303104</v>
      </c>
      <c r="F416" t="s">
        <v>35</v>
      </c>
      <c r="G416" t="s">
        <v>38</v>
      </c>
      <c r="H416" t="s">
        <v>43</v>
      </c>
      <c r="I416">
        <v>31</v>
      </c>
      <c r="J416">
        <v>34</v>
      </c>
      <c r="K416">
        <v>65</v>
      </c>
      <c r="L416">
        <v>42</v>
      </c>
      <c r="M416">
        <v>6</v>
      </c>
      <c r="N416">
        <v>7</v>
      </c>
      <c r="O416">
        <v>10</v>
      </c>
      <c r="P416">
        <v>7</v>
      </c>
      <c r="Q416">
        <v>3</v>
      </c>
      <c r="R416">
        <v>3</v>
      </c>
      <c r="S416">
        <v>6</v>
      </c>
      <c r="T416">
        <f t="shared" si="14"/>
        <v>0</v>
      </c>
    </row>
    <row r="417" spans="1:20" x14ac:dyDescent="0.2">
      <c r="A417">
        <v>416</v>
      </c>
      <c r="B417" t="s">
        <v>17</v>
      </c>
      <c r="C417" t="s">
        <v>512</v>
      </c>
      <c r="D417" t="s">
        <v>450</v>
      </c>
      <c r="E417">
        <v>19240303401</v>
      </c>
      <c r="F417" t="s">
        <v>36</v>
      </c>
      <c r="G417" t="s">
        <v>39</v>
      </c>
      <c r="H417" t="s">
        <v>42</v>
      </c>
      <c r="I417">
        <v>24</v>
      </c>
      <c r="J417">
        <v>38</v>
      </c>
      <c r="K417">
        <v>62</v>
      </c>
      <c r="L417">
        <v>36</v>
      </c>
      <c r="M417">
        <v>10</v>
      </c>
      <c r="N417">
        <v>7</v>
      </c>
      <c r="O417">
        <v>9</v>
      </c>
      <c r="P417">
        <v>7</v>
      </c>
      <c r="Q417">
        <v>10</v>
      </c>
      <c r="R417">
        <v>5</v>
      </c>
      <c r="S417">
        <v>15</v>
      </c>
      <c r="T417">
        <f t="shared" si="14"/>
        <v>0</v>
      </c>
    </row>
    <row r="418" spans="1:20" x14ac:dyDescent="0.2">
      <c r="A418">
        <v>417</v>
      </c>
      <c r="B418" t="s">
        <v>17</v>
      </c>
      <c r="C418" t="s">
        <v>512</v>
      </c>
      <c r="D418" t="s">
        <v>451</v>
      </c>
      <c r="E418">
        <v>19240307901</v>
      </c>
      <c r="F418" t="s">
        <v>37</v>
      </c>
      <c r="G418" t="s">
        <v>24</v>
      </c>
      <c r="H418" t="s">
        <v>42</v>
      </c>
      <c r="I418">
        <v>28</v>
      </c>
      <c r="J418">
        <v>21</v>
      </c>
      <c r="K418">
        <v>49</v>
      </c>
      <c r="L418">
        <v>25</v>
      </c>
      <c r="M418">
        <v>10</v>
      </c>
      <c r="N418">
        <v>6</v>
      </c>
      <c r="O418">
        <v>8</v>
      </c>
      <c r="P418">
        <v>10</v>
      </c>
      <c r="Q418">
        <v>8</v>
      </c>
      <c r="R418">
        <v>6</v>
      </c>
      <c r="S418">
        <v>14</v>
      </c>
      <c r="T418">
        <f t="shared" si="14"/>
        <v>1</v>
      </c>
    </row>
    <row r="419" spans="1:20" x14ac:dyDescent="0.2">
      <c r="A419">
        <v>418</v>
      </c>
      <c r="B419" t="s">
        <v>17</v>
      </c>
      <c r="C419" t="s">
        <v>512</v>
      </c>
      <c r="D419" t="s">
        <v>452</v>
      </c>
      <c r="E419">
        <v>19240302403</v>
      </c>
      <c r="F419" t="s">
        <v>35</v>
      </c>
      <c r="G419" t="s">
        <v>24</v>
      </c>
      <c r="H419" t="s">
        <v>44</v>
      </c>
      <c r="I419">
        <v>32</v>
      </c>
      <c r="J419">
        <v>32</v>
      </c>
      <c r="K419">
        <v>64</v>
      </c>
      <c r="L419">
        <v>48</v>
      </c>
      <c r="M419">
        <v>6</v>
      </c>
      <c r="N419">
        <v>5</v>
      </c>
      <c r="O419">
        <v>5</v>
      </c>
      <c r="P419">
        <v>5</v>
      </c>
      <c r="Q419">
        <v>7</v>
      </c>
      <c r="R419">
        <v>7</v>
      </c>
      <c r="S419">
        <v>14</v>
      </c>
      <c r="T419">
        <f t="shared" si="14"/>
        <v>0</v>
      </c>
    </row>
    <row r="420" spans="1:20" x14ac:dyDescent="0.2">
      <c r="A420">
        <v>419</v>
      </c>
      <c r="B420" t="s">
        <v>17</v>
      </c>
      <c r="C420" t="s">
        <v>512</v>
      </c>
      <c r="D420" t="s">
        <v>453</v>
      </c>
      <c r="E420">
        <v>19240302401</v>
      </c>
      <c r="F420" t="s">
        <v>37</v>
      </c>
      <c r="G420" t="s">
        <v>23</v>
      </c>
      <c r="H420" t="s">
        <v>43</v>
      </c>
      <c r="I420">
        <v>35</v>
      </c>
      <c r="J420">
        <v>29</v>
      </c>
      <c r="K420">
        <v>64</v>
      </c>
      <c r="L420">
        <v>45</v>
      </c>
      <c r="M420">
        <v>9</v>
      </c>
      <c r="N420">
        <v>5</v>
      </c>
      <c r="O420">
        <v>5</v>
      </c>
      <c r="P420">
        <v>5</v>
      </c>
      <c r="Q420">
        <v>4</v>
      </c>
      <c r="R420">
        <v>7</v>
      </c>
      <c r="S420">
        <v>11</v>
      </c>
      <c r="T420">
        <f t="shared" si="14"/>
        <v>0</v>
      </c>
    </row>
    <row r="421" spans="1:20" x14ac:dyDescent="0.2">
      <c r="A421">
        <v>420</v>
      </c>
      <c r="B421" t="s">
        <v>17</v>
      </c>
      <c r="C421" t="s">
        <v>512</v>
      </c>
      <c r="D421" t="s">
        <v>454</v>
      </c>
      <c r="E421">
        <v>19240305302</v>
      </c>
      <c r="F421" t="s">
        <v>36</v>
      </c>
      <c r="G421" t="s">
        <v>40</v>
      </c>
      <c r="H421" t="s">
        <v>42</v>
      </c>
      <c r="I421">
        <v>35</v>
      </c>
      <c r="J421">
        <v>28</v>
      </c>
      <c r="K421">
        <v>63</v>
      </c>
      <c r="L421">
        <v>41</v>
      </c>
      <c r="M421">
        <v>5</v>
      </c>
      <c r="N421">
        <v>8</v>
      </c>
      <c r="O421">
        <v>9</v>
      </c>
      <c r="P421">
        <v>10</v>
      </c>
      <c r="Q421">
        <v>6</v>
      </c>
      <c r="R421">
        <v>4</v>
      </c>
      <c r="S421">
        <v>10</v>
      </c>
      <c r="T421">
        <f t="shared" si="14"/>
        <v>0</v>
      </c>
    </row>
    <row r="422" spans="1:20" x14ac:dyDescent="0.2">
      <c r="A422">
        <v>421</v>
      </c>
      <c r="B422" t="s">
        <v>17</v>
      </c>
      <c r="C422" t="s">
        <v>512</v>
      </c>
      <c r="D422" t="s">
        <v>455</v>
      </c>
      <c r="E422">
        <v>19240305003</v>
      </c>
      <c r="F422" t="s">
        <v>35</v>
      </c>
      <c r="G422" t="s">
        <v>23</v>
      </c>
      <c r="H422" t="s">
        <v>41</v>
      </c>
      <c r="I422">
        <v>24</v>
      </c>
      <c r="J422">
        <v>31</v>
      </c>
      <c r="K422">
        <v>55</v>
      </c>
      <c r="L422">
        <v>33</v>
      </c>
      <c r="M422">
        <v>6</v>
      </c>
      <c r="N422">
        <v>6</v>
      </c>
      <c r="O422">
        <v>10</v>
      </c>
      <c r="P422">
        <v>5</v>
      </c>
      <c r="Q422">
        <v>4</v>
      </c>
      <c r="R422">
        <v>4</v>
      </c>
      <c r="S422">
        <v>8</v>
      </c>
      <c r="T422">
        <f t="shared" si="14"/>
        <v>0</v>
      </c>
    </row>
    <row r="423" spans="1:20" x14ac:dyDescent="0.2">
      <c r="A423">
        <v>422</v>
      </c>
      <c r="B423" t="s">
        <v>17</v>
      </c>
      <c r="C423" t="s">
        <v>512</v>
      </c>
      <c r="D423" t="s">
        <v>456</v>
      </c>
      <c r="E423">
        <v>19240308001</v>
      </c>
      <c r="F423" t="s">
        <v>36</v>
      </c>
      <c r="G423" t="s">
        <v>38</v>
      </c>
      <c r="H423" t="s">
        <v>42</v>
      </c>
      <c r="I423">
        <v>27</v>
      </c>
      <c r="J423">
        <v>34</v>
      </c>
      <c r="K423">
        <v>61</v>
      </c>
      <c r="L423">
        <v>36</v>
      </c>
      <c r="M423">
        <v>10</v>
      </c>
      <c r="N423">
        <v>7</v>
      </c>
      <c r="O423">
        <v>8</v>
      </c>
      <c r="P423">
        <v>10</v>
      </c>
      <c r="Q423">
        <v>2</v>
      </c>
      <c r="R423">
        <v>0</v>
      </c>
      <c r="S423">
        <v>2</v>
      </c>
      <c r="T423">
        <f t="shared" si="14"/>
        <v>0</v>
      </c>
    </row>
    <row r="424" spans="1:20" x14ac:dyDescent="0.2">
      <c r="A424">
        <v>423</v>
      </c>
      <c r="B424" t="s">
        <v>17</v>
      </c>
      <c r="C424" t="s">
        <v>512</v>
      </c>
      <c r="D424" t="s">
        <v>457</v>
      </c>
      <c r="E424">
        <v>19240301006</v>
      </c>
      <c r="F424" t="s">
        <v>36</v>
      </c>
      <c r="G424" t="s">
        <v>39</v>
      </c>
      <c r="H424" t="s">
        <v>41</v>
      </c>
      <c r="I424">
        <v>24</v>
      </c>
      <c r="J424">
        <v>33</v>
      </c>
      <c r="K424">
        <v>57</v>
      </c>
      <c r="L424">
        <v>30</v>
      </c>
      <c r="M424">
        <v>9</v>
      </c>
      <c r="N424">
        <v>10</v>
      </c>
      <c r="O424">
        <v>8</v>
      </c>
      <c r="P424">
        <v>5</v>
      </c>
      <c r="Q424">
        <v>9</v>
      </c>
      <c r="R424">
        <v>5</v>
      </c>
      <c r="S424">
        <v>14</v>
      </c>
      <c r="T424">
        <f t="shared" si="14"/>
        <v>1</v>
      </c>
    </row>
    <row r="425" spans="1:20" x14ac:dyDescent="0.2">
      <c r="A425">
        <v>424</v>
      </c>
      <c r="B425" t="s">
        <v>17</v>
      </c>
      <c r="C425" t="s">
        <v>512</v>
      </c>
      <c r="D425" t="s">
        <v>458</v>
      </c>
      <c r="E425">
        <v>19240307902</v>
      </c>
      <c r="F425" t="s">
        <v>36</v>
      </c>
      <c r="G425" t="s">
        <v>24</v>
      </c>
      <c r="H425" t="s">
        <v>42</v>
      </c>
      <c r="I425">
        <v>27</v>
      </c>
      <c r="J425">
        <v>35</v>
      </c>
      <c r="K425">
        <v>62</v>
      </c>
      <c r="L425">
        <v>37</v>
      </c>
      <c r="M425">
        <v>9</v>
      </c>
      <c r="N425">
        <v>7</v>
      </c>
      <c r="O425">
        <v>9</v>
      </c>
      <c r="P425">
        <v>8</v>
      </c>
      <c r="Q425">
        <v>8</v>
      </c>
      <c r="R425">
        <v>1</v>
      </c>
      <c r="S425">
        <v>9</v>
      </c>
      <c r="T425">
        <f t="shared" si="14"/>
        <v>0</v>
      </c>
    </row>
    <row r="426" spans="1:20" x14ac:dyDescent="0.2">
      <c r="A426">
        <v>425</v>
      </c>
      <c r="B426" t="s">
        <v>17</v>
      </c>
      <c r="C426" t="s">
        <v>512</v>
      </c>
      <c r="D426" t="s">
        <v>459</v>
      </c>
      <c r="E426">
        <v>19240300106</v>
      </c>
      <c r="F426" t="s">
        <v>35</v>
      </c>
      <c r="G426" t="s">
        <v>38</v>
      </c>
      <c r="H426" t="s">
        <v>43</v>
      </c>
      <c r="I426">
        <v>20</v>
      </c>
      <c r="J426">
        <v>20</v>
      </c>
      <c r="K426">
        <v>40</v>
      </c>
      <c r="L426">
        <v>14</v>
      </c>
      <c r="M426">
        <v>9</v>
      </c>
      <c r="N426">
        <v>9</v>
      </c>
      <c r="O426">
        <v>8</v>
      </c>
      <c r="P426">
        <v>9</v>
      </c>
      <c r="Q426">
        <v>10</v>
      </c>
      <c r="R426">
        <v>2</v>
      </c>
      <c r="S426">
        <v>12</v>
      </c>
      <c r="T426">
        <f t="shared" si="14"/>
        <v>1</v>
      </c>
    </row>
    <row r="427" spans="1:20" x14ac:dyDescent="0.2">
      <c r="A427">
        <v>426</v>
      </c>
      <c r="B427" t="s">
        <v>17</v>
      </c>
      <c r="C427" t="s">
        <v>512</v>
      </c>
      <c r="D427" t="s">
        <v>460</v>
      </c>
      <c r="E427">
        <v>19240308101</v>
      </c>
      <c r="F427" t="s">
        <v>36</v>
      </c>
      <c r="G427" t="s">
        <v>39</v>
      </c>
      <c r="H427" t="s">
        <v>42</v>
      </c>
      <c r="I427">
        <v>35</v>
      </c>
      <c r="J427">
        <v>37</v>
      </c>
      <c r="K427">
        <v>72</v>
      </c>
      <c r="L427">
        <v>51</v>
      </c>
      <c r="M427">
        <v>7</v>
      </c>
      <c r="N427">
        <v>7</v>
      </c>
      <c r="O427">
        <v>7</v>
      </c>
      <c r="P427">
        <v>5</v>
      </c>
      <c r="Q427">
        <v>1</v>
      </c>
      <c r="R427">
        <v>2</v>
      </c>
      <c r="S427">
        <v>3</v>
      </c>
      <c r="T427">
        <f t="shared" si="14"/>
        <v>0</v>
      </c>
    </row>
    <row r="428" spans="1:20" x14ac:dyDescent="0.2">
      <c r="A428">
        <v>427</v>
      </c>
      <c r="B428" t="s">
        <v>17</v>
      </c>
      <c r="C428" t="s">
        <v>22</v>
      </c>
      <c r="D428" t="s">
        <v>461</v>
      </c>
      <c r="E428">
        <v>19240107302</v>
      </c>
      <c r="F428" t="s">
        <v>37</v>
      </c>
      <c r="G428" t="s">
        <v>24</v>
      </c>
      <c r="H428" t="s">
        <v>42</v>
      </c>
      <c r="I428">
        <v>24</v>
      </c>
      <c r="J428">
        <v>37</v>
      </c>
      <c r="K428">
        <v>61</v>
      </c>
      <c r="L428">
        <v>40</v>
      </c>
      <c r="M428">
        <v>9</v>
      </c>
      <c r="N428">
        <v>5</v>
      </c>
      <c r="O428">
        <v>7</v>
      </c>
      <c r="P428">
        <v>6</v>
      </c>
      <c r="Q428">
        <v>0</v>
      </c>
      <c r="R428">
        <v>5</v>
      </c>
      <c r="S428">
        <v>5</v>
      </c>
      <c r="T428">
        <f t="shared" si="14"/>
        <v>0</v>
      </c>
    </row>
    <row r="429" spans="1:20" x14ac:dyDescent="0.2">
      <c r="A429">
        <v>428</v>
      </c>
      <c r="B429" t="s">
        <v>17</v>
      </c>
      <c r="C429" t="s">
        <v>512</v>
      </c>
      <c r="D429" t="s">
        <v>462</v>
      </c>
      <c r="E429">
        <v>19240301305</v>
      </c>
      <c r="F429" t="s">
        <v>35</v>
      </c>
      <c r="G429" t="s">
        <v>24</v>
      </c>
      <c r="H429" t="s">
        <v>44</v>
      </c>
      <c r="I429">
        <v>25</v>
      </c>
      <c r="J429">
        <v>34</v>
      </c>
      <c r="K429">
        <v>59</v>
      </c>
      <c r="L429">
        <v>33</v>
      </c>
      <c r="M429">
        <v>8</v>
      </c>
      <c r="N429">
        <v>8</v>
      </c>
      <c r="O429">
        <v>10</v>
      </c>
      <c r="P429">
        <v>9</v>
      </c>
      <c r="Q429">
        <v>3</v>
      </c>
      <c r="R429">
        <v>5</v>
      </c>
      <c r="S429">
        <v>8</v>
      </c>
      <c r="T429">
        <f t="shared" si="14"/>
        <v>1</v>
      </c>
    </row>
    <row r="430" spans="1:20" x14ac:dyDescent="0.2">
      <c r="A430">
        <v>429</v>
      </c>
      <c r="B430" t="s">
        <v>17</v>
      </c>
      <c r="C430" t="s">
        <v>512</v>
      </c>
      <c r="D430" t="s">
        <v>463</v>
      </c>
      <c r="E430">
        <v>19240304501</v>
      </c>
      <c r="F430" t="s">
        <v>37</v>
      </c>
      <c r="G430" t="s">
        <v>23</v>
      </c>
      <c r="H430" t="s">
        <v>43</v>
      </c>
      <c r="I430">
        <v>20</v>
      </c>
      <c r="J430">
        <v>21</v>
      </c>
      <c r="K430">
        <v>41</v>
      </c>
      <c r="L430">
        <v>18</v>
      </c>
      <c r="M430">
        <v>9</v>
      </c>
      <c r="N430">
        <v>8</v>
      </c>
      <c r="O430">
        <v>6</v>
      </c>
      <c r="P430">
        <v>6</v>
      </c>
      <c r="Q430">
        <v>9</v>
      </c>
      <c r="R430">
        <v>4</v>
      </c>
      <c r="S430">
        <v>13</v>
      </c>
      <c r="T430">
        <f t="shared" si="14"/>
        <v>1</v>
      </c>
    </row>
    <row r="431" spans="1:20" x14ac:dyDescent="0.2">
      <c r="A431">
        <v>430</v>
      </c>
      <c r="B431" t="s">
        <v>17</v>
      </c>
      <c r="C431" t="s">
        <v>512</v>
      </c>
      <c r="D431" t="s">
        <v>464</v>
      </c>
      <c r="E431">
        <v>19240304601</v>
      </c>
      <c r="F431" t="s">
        <v>36</v>
      </c>
      <c r="G431" t="s">
        <v>40</v>
      </c>
      <c r="H431" t="s">
        <v>42</v>
      </c>
      <c r="I431">
        <v>28</v>
      </c>
      <c r="J431">
        <v>39</v>
      </c>
      <c r="K431">
        <v>67</v>
      </c>
      <c r="L431">
        <v>48</v>
      </c>
      <c r="M431">
        <v>7</v>
      </c>
      <c r="N431">
        <v>6</v>
      </c>
      <c r="O431">
        <v>6</v>
      </c>
      <c r="P431">
        <v>7</v>
      </c>
      <c r="Q431">
        <v>7</v>
      </c>
      <c r="R431">
        <v>7</v>
      </c>
      <c r="S431">
        <v>14</v>
      </c>
      <c r="T431">
        <f t="shared" si="14"/>
        <v>0</v>
      </c>
    </row>
    <row r="432" spans="1:20" x14ac:dyDescent="0.2">
      <c r="A432">
        <v>431</v>
      </c>
      <c r="B432" t="s">
        <v>17</v>
      </c>
      <c r="C432" t="s">
        <v>512</v>
      </c>
      <c r="D432" t="s">
        <v>465</v>
      </c>
      <c r="E432">
        <v>19240303703</v>
      </c>
      <c r="F432" t="s">
        <v>35</v>
      </c>
      <c r="G432" t="s">
        <v>23</v>
      </c>
      <c r="H432" t="s">
        <v>41</v>
      </c>
      <c r="I432">
        <v>24</v>
      </c>
      <c r="J432">
        <v>26</v>
      </c>
      <c r="K432">
        <v>50</v>
      </c>
      <c r="L432">
        <v>29</v>
      </c>
      <c r="M432">
        <v>7</v>
      </c>
      <c r="N432">
        <v>6</v>
      </c>
      <c r="O432">
        <v>8</v>
      </c>
      <c r="P432">
        <v>6</v>
      </c>
      <c r="Q432">
        <v>8</v>
      </c>
      <c r="R432">
        <v>1</v>
      </c>
      <c r="S432">
        <v>9</v>
      </c>
      <c r="T432">
        <f t="shared" si="14"/>
        <v>0</v>
      </c>
    </row>
    <row r="433" spans="1:20" x14ac:dyDescent="0.2">
      <c r="A433">
        <v>432</v>
      </c>
      <c r="B433" t="s">
        <v>17</v>
      </c>
      <c r="C433" t="s">
        <v>512</v>
      </c>
      <c r="D433" t="s">
        <v>466</v>
      </c>
      <c r="E433">
        <v>19240308102</v>
      </c>
      <c r="F433" t="s">
        <v>36</v>
      </c>
      <c r="G433" t="s">
        <v>38</v>
      </c>
      <c r="H433" t="s">
        <v>42</v>
      </c>
      <c r="I433">
        <v>38</v>
      </c>
      <c r="J433">
        <v>37</v>
      </c>
      <c r="K433">
        <v>75</v>
      </c>
      <c r="L433">
        <v>53</v>
      </c>
      <c r="M433">
        <v>8</v>
      </c>
      <c r="N433">
        <v>5</v>
      </c>
      <c r="O433">
        <v>9</v>
      </c>
      <c r="P433">
        <v>10</v>
      </c>
      <c r="Q433">
        <v>10</v>
      </c>
      <c r="R433">
        <v>5</v>
      </c>
      <c r="S433">
        <v>15</v>
      </c>
      <c r="T433">
        <f t="shared" si="14"/>
        <v>0</v>
      </c>
    </row>
    <row r="434" spans="1:20" x14ac:dyDescent="0.2">
      <c r="A434">
        <v>433</v>
      </c>
      <c r="B434" t="s">
        <v>17</v>
      </c>
      <c r="C434" t="s">
        <v>512</v>
      </c>
      <c r="D434" t="s">
        <v>467</v>
      </c>
      <c r="E434">
        <v>19240303105</v>
      </c>
      <c r="F434" t="s">
        <v>36</v>
      </c>
      <c r="G434" t="s">
        <v>39</v>
      </c>
      <c r="H434" t="s">
        <v>41</v>
      </c>
      <c r="I434">
        <v>31</v>
      </c>
      <c r="J434">
        <v>24</v>
      </c>
      <c r="K434">
        <v>55</v>
      </c>
      <c r="L434">
        <v>26</v>
      </c>
      <c r="M434">
        <v>9</v>
      </c>
      <c r="N434">
        <v>10</v>
      </c>
      <c r="O434">
        <v>10</v>
      </c>
      <c r="P434">
        <v>10</v>
      </c>
      <c r="Q434">
        <v>2</v>
      </c>
      <c r="R434">
        <v>6</v>
      </c>
      <c r="S434">
        <v>8</v>
      </c>
      <c r="T434">
        <f t="shared" si="14"/>
        <v>1</v>
      </c>
    </row>
    <row r="435" spans="1:20" x14ac:dyDescent="0.2">
      <c r="A435">
        <v>434</v>
      </c>
      <c r="B435" t="s">
        <v>17</v>
      </c>
      <c r="C435" t="s">
        <v>512</v>
      </c>
      <c r="D435" t="s">
        <v>468</v>
      </c>
      <c r="E435">
        <v>19240305602</v>
      </c>
      <c r="F435" t="s">
        <v>36</v>
      </c>
      <c r="G435" t="s">
        <v>24</v>
      </c>
      <c r="H435" t="s">
        <v>42</v>
      </c>
      <c r="I435">
        <v>25</v>
      </c>
      <c r="J435">
        <v>26</v>
      </c>
      <c r="K435">
        <v>51</v>
      </c>
      <c r="L435">
        <v>30</v>
      </c>
      <c r="M435">
        <v>9</v>
      </c>
      <c r="N435">
        <v>5</v>
      </c>
      <c r="O435">
        <v>7</v>
      </c>
      <c r="P435">
        <v>7</v>
      </c>
      <c r="Q435">
        <v>3</v>
      </c>
      <c r="R435">
        <v>9</v>
      </c>
      <c r="S435">
        <v>12</v>
      </c>
      <c r="T435">
        <f t="shared" si="14"/>
        <v>0</v>
      </c>
    </row>
    <row r="436" spans="1:20" x14ac:dyDescent="0.2">
      <c r="A436">
        <v>435</v>
      </c>
      <c r="B436" t="s">
        <v>17</v>
      </c>
      <c r="C436" t="s">
        <v>512</v>
      </c>
      <c r="D436" t="s">
        <v>469</v>
      </c>
      <c r="E436">
        <v>19240302001</v>
      </c>
      <c r="F436" t="s">
        <v>35</v>
      </c>
      <c r="G436" t="s">
        <v>38</v>
      </c>
      <c r="H436" t="s">
        <v>43</v>
      </c>
      <c r="I436">
        <v>28</v>
      </c>
      <c r="J436">
        <v>36</v>
      </c>
      <c r="K436">
        <v>64</v>
      </c>
      <c r="L436">
        <v>46</v>
      </c>
      <c r="M436">
        <v>8</v>
      </c>
      <c r="N436">
        <v>5</v>
      </c>
      <c r="O436">
        <v>5</v>
      </c>
      <c r="P436">
        <v>7</v>
      </c>
      <c r="Q436">
        <v>6</v>
      </c>
      <c r="R436">
        <v>4</v>
      </c>
      <c r="S436">
        <v>10</v>
      </c>
      <c r="T436">
        <f t="shared" si="14"/>
        <v>0</v>
      </c>
    </row>
    <row r="437" spans="1:20" x14ac:dyDescent="0.2">
      <c r="A437">
        <v>436</v>
      </c>
      <c r="B437" t="s">
        <v>17</v>
      </c>
      <c r="C437" t="s">
        <v>512</v>
      </c>
      <c r="D437" t="s">
        <v>470</v>
      </c>
      <c r="E437">
        <v>19240306204</v>
      </c>
      <c r="F437" t="s">
        <v>36</v>
      </c>
      <c r="G437" t="s">
        <v>39</v>
      </c>
      <c r="H437" t="s">
        <v>42</v>
      </c>
      <c r="I437">
        <v>25</v>
      </c>
      <c r="J437">
        <v>36</v>
      </c>
      <c r="K437">
        <v>61</v>
      </c>
      <c r="L437">
        <v>35</v>
      </c>
      <c r="M437">
        <v>9</v>
      </c>
      <c r="N437">
        <v>7</v>
      </c>
      <c r="O437">
        <v>10</v>
      </c>
      <c r="P437">
        <v>5</v>
      </c>
      <c r="Q437">
        <v>7</v>
      </c>
      <c r="R437">
        <v>10</v>
      </c>
      <c r="S437">
        <v>17</v>
      </c>
      <c r="T437">
        <f t="shared" si="14"/>
        <v>0</v>
      </c>
    </row>
    <row r="438" spans="1:20" x14ac:dyDescent="0.2">
      <c r="A438">
        <v>437</v>
      </c>
      <c r="B438" t="s">
        <v>17</v>
      </c>
      <c r="C438" t="s">
        <v>512</v>
      </c>
      <c r="D438" t="s">
        <v>471</v>
      </c>
      <c r="E438">
        <v>19240306202</v>
      </c>
      <c r="F438" t="s">
        <v>37</v>
      </c>
      <c r="G438" t="s">
        <v>24</v>
      </c>
      <c r="H438" t="s">
        <v>42</v>
      </c>
      <c r="I438">
        <v>37</v>
      </c>
      <c r="J438">
        <v>34</v>
      </c>
      <c r="K438">
        <v>71</v>
      </c>
      <c r="L438">
        <v>49</v>
      </c>
      <c r="M438">
        <v>7</v>
      </c>
      <c r="N438">
        <v>8</v>
      </c>
      <c r="O438">
        <v>7</v>
      </c>
      <c r="P438">
        <v>8</v>
      </c>
      <c r="Q438">
        <v>3</v>
      </c>
      <c r="R438">
        <v>5</v>
      </c>
      <c r="S438">
        <v>8</v>
      </c>
      <c r="T438">
        <f t="shared" si="14"/>
        <v>0</v>
      </c>
    </row>
    <row r="439" spans="1:20" x14ac:dyDescent="0.2">
      <c r="A439">
        <v>438</v>
      </c>
      <c r="B439" t="s">
        <v>17</v>
      </c>
      <c r="C439" t="s">
        <v>512</v>
      </c>
      <c r="D439" t="s">
        <v>472</v>
      </c>
      <c r="E439">
        <v>19240302804</v>
      </c>
      <c r="F439" t="s">
        <v>35</v>
      </c>
      <c r="G439" t="s">
        <v>24</v>
      </c>
      <c r="H439" t="s">
        <v>44</v>
      </c>
      <c r="I439">
        <v>34</v>
      </c>
      <c r="J439">
        <v>22</v>
      </c>
      <c r="K439">
        <v>56</v>
      </c>
      <c r="L439">
        <v>38</v>
      </c>
      <c r="M439">
        <v>5</v>
      </c>
      <c r="N439">
        <v>7</v>
      </c>
      <c r="O439">
        <v>6</v>
      </c>
      <c r="P439">
        <v>5</v>
      </c>
      <c r="Q439">
        <v>5</v>
      </c>
      <c r="R439">
        <v>8</v>
      </c>
      <c r="S439">
        <v>13</v>
      </c>
      <c r="T439">
        <f t="shared" si="14"/>
        <v>0</v>
      </c>
    </row>
    <row r="440" spans="1:20" x14ac:dyDescent="0.2">
      <c r="A440">
        <v>439</v>
      </c>
      <c r="B440" t="s">
        <v>17</v>
      </c>
      <c r="C440" t="s">
        <v>512</v>
      </c>
      <c r="D440" t="s">
        <v>473</v>
      </c>
      <c r="E440">
        <v>19240300904</v>
      </c>
      <c r="F440" t="s">
        <v>37</v>
      </c>
      <c r="G440" t="s">
        <v>23</v>
      </c>
      <c r="H440" t="s">
        <v>43</v>
      </c>
      <c r="I440">
        <v>40</v>
      </c>
      <c r="J440">
        <v>33</v>
      </c>
      <c r="K440">
        <v>73</v>
      </c>
      <c r="L440">
        <v>52</v>
      </c>
      <c r="M440">
        <v>7</v>
      </c>
      <c r="N440">
        <v>5</v>
      </c>
      <c r="O440">
        <v>9</v>
      </c>
      <c r="P440">
        <v>7</v>
      </c>
      <c r="Q440">
        <v>9</v>
      </c>
      <c r="R440">
        <v>6</v>
      </c>
      <c r="S440">
        <v>15</v>
      </c>
      <c r="T440">
        <f t="shared" si="13"/>
        <v>0</v>
      </c>
    </row>
    <row r="441" spans="1:20" x14ac:dyDescent="0.2">
      <c r="A441">
        <v>440</v>
      </c>
      <c r="B441" t="s">
        <v>17</v>
      </c>
      <c r="C441" t="s">
        <v>512</v>
      </c>
      <c r="D441" t="s">
        <v>474</v>
      </c>
      <c r="E441">
        <v>19240300902</v>
      </c>
      <c r="F441" t="s">
        <v>36</v>
      </c>
      <c r="G441" t="s">
        <v>40</v>
      </c>
      <c r="H441" t="s">
        <v>42</v>
      </c>
      <c r="I441">
        <v>24</v>
      </c>
      <c r="J441">
        <v>34</v>
      </c>
      <c r="K441">
        <v>58</v>
      </c>
      <c r="L441">
        <v>34</v>
      </c>
      <c r="M441">
        <v>10</v>
      </c>
      <c r="N441">
        <v>6</v>
      </c>
      <c r="O441">
        <v>8</v>
      </c>
      <c r="P441">
        <v>9</v>
      </c>
      <c r="Q441">
        <v>1</v>
      </c>
      <c r="R441">
        <v>8</v>
      </c>
      <c r="S441">
        <v>9</v>
      </c>
      <c r="T441">
        <f t="shared" si="13"/>
        <v>0</v>
      </c>
    </row>
    <row r="442" spans="1:20" x14ac:dyDescent="0.2">
      <c r="A442">
        <v>441</v>
      </c>
      <c r="B442" t="s">
        <v>17</v>
      </c>
      <c r="C442" t="s">
        <v>512</v>
      </c>
      <c r="D442" t="s">
        <v>475</v>
      </c>
      <c r="E442">
        <v>19240300201</v>
      </c>
      <c r="F442" t="s">
        <v>35</v>
      </c>
      <c r="G442" t="s">
        <v>23</v>
      </c>
      <c r="H442" t="s">
        <v>41</v>
      </c>
      <c r="I442">
        <v>36</v>
      </c>
      <c r="J442">
        <v>28</v>
      </c>
      <c r="K442">
        <v>64</v>
      </c>
      <c r="L442">
        <v>39</v>
      </c>
      <c r="M442">
        <v>9</v>
      </c>
      <c r="N442">
        <v>9</v>
      </c>
      <c r="O442">
        <v>7</v>
      </c>
      <c r="P442">
        <v>5</v>
      </c>
      <c r="Q442">
        <v>7</v>
      </c>
      <c r="R442">
        <v>0</v>
      </c>
      <c r="S442">
        <v>7</v>
      </c>
      <c r="T442">
        <f t="shared" si="13"/>
        <v>0</v>
      </c>
    </row>
    <row r="443" spans="1:20" x14ac:dyDescent="0.2">
      <c r="A443">
        <v>442</v>
      </c>
      <c r="B443" t="s">
        <v>17</v>
      </c>
      <c r="C443" t="s">
        <v>512</v>
      </c>
      <c r="D443" t="s">
        <v>476</v>
      </c>
      <c r="E443">
        <v>19240300802</v>
      </c>
      <c r="F443" t="s">
        <v>36</v>
      </c>
      <c r="G443" t="s">
        <v>38</v>
      </c>
      <c r="H443" t="s">
        <v>42</v>
      </c>
      <c r="I443">
        <v>27</v>
      </c>
      <c r="J443">
        <v>28</v>
      </c>
      <c r="K443">
        <v>55</v>
      </c>
      <c r="L443">
        <v>35</v>
      </c>
      <c r="M443">
        <v>8</v>
      </c>
      <c r="N443">
        <v>6</v>
      </c>
      <c r="O443">
        <v>6</v>
      </c>
      <c r="P443">
        <v>6</v>
      </c>
      <c r="Q443">
        <v>5</v>
      </c>
      <c r="R443">
        <v>9</v>
      </c>
      <c r="S443">
        <v>14</v>
      </c>
      <c r="T443">
        <f t="shared" si="13"/>
        <v>0</v>
      </c>
    </row>
    <row r="444" spans="1:20" x14ac:dyDescent="0.2">
      <c r="A444">
        <v>443</v>
      </c>
      <c r="B444" t="s">
        <v>17</v>
      </c>
      <c r="C444" t="s">
        <v>509</v>
      </c>
      <c r="D444" t="s">
        <v>477</v>
      </c>
      <c r="E444">
        <v>19240400102</v>
      </c>
      <c r="F444" t="s">
        <v>36</v>
      </c>
      <c r="G444" t="s">
        <v>39</v>
      </c>
      <c r="H444" t="s">
        <v>41</v>
      </c>
      <c r="I444">
        <v>25</v>
      </c>
      <c r="J444">
        <v>35</v>
      </c>
      <c r="K444">
        <v>60</v>
      </c>
      <c r="L444">
        <v>33</v>
      </c>
      <c r="M444">
        <v>8</v>
      </c>
      <c r="N444">
        <v>10</v>
      </c>
      <c r="O444">
        <v>9</v>
      </c>
      <c r="P444">
        <v>10</v>
      </c>
      <c r="Q444">
        <v>3</v>
      </c>
      <c r="R444">
        <v>6</v>
      </c>
      <c r="S444">
        <v>9</v>
      </c>
      <c r="T444">
        <f t="shared" si="13"/>
        <v>1</v>
      </c>
    </row>
    <row r="445" spans="1:20" x14ac:dyDescent="0.2">
      <c r="A445">
        <v>444</v>
      </c>
      <c r="B445" t="s">
        <v>17</v>
      </c>
      <c r="C445" t="s">
        <v>509</v>
      </c>
      <c r="D445" t="s">
        <v>478</v>
      </c>
      <c r="E445">
        <v>19240400101</v>
      </c>
      <c r="F445" t="s">
        <v>36</v>
      </c>
      <c r="G445" t="s">
        <v>24</v>
      </c>
      <c r="H445" t="s">
        <v>42</v>
      </c>
      <c r="I445">
        <v>28</v>
      </c>
      <c r="J445">
        <v>22</v>
      </c>
      <c r="K445">
        <v>50</v>
      </c>
      <c r="L445">
        <v>26</v>
      </c>
      <c r="M445">
        <v>9</v>
      </c>
      <c r="N445">
        <v>9</v>
      </c>
      <c r="O445">
        <v>6</v>
      </c>
      <c r="P445">
        <v>9</v>
      </c>
      <c r="Q445">
        <v>8</v>
      </c>
      <c r="R445">
        <v>10</v>
      </c>
      <c r="S445">
        <v>18</v>
      </c>
      <c r="T445">
        <f t="shared" si="13"/>
        <v>1</v>
      </c>
    </row>
    <row r="446" spans="1:20" x14ac:dyDescent="0.2">
      <c r="A446">
        <v>445</v>
      </c>
      <c r="B446" t="s">
        <v>17</v>
      </c>
      <c r="C446" t="s">
        <v>509</v>
      </c>
      <c r="D446" t="s">
        <v>479</v>
      </c>
      <c r="E446">
        <v>19240401402</v>
      </c>
      <c r="F446" t="s">
        <v>35</v>
      </c>
      <c r="G446" t="s">
        <v>38</v>
      </c>
      <c r="H446" t="s">
        <v>43</v>
      </c>
      <c r="I446">
        <v>27</v>
      </c>
      <c r="J446">
        <v>28</v>
      </c>
      <c r="K446">
        <v>55</v>
      </c>
      <c r="L446">
        <v>33</v>
      </c>
      <c r="M446">
        <v>5</v>
      </c>
      <c r="N446">
        <v>10</v>
      </c>
      <c r="O446">
        <v>7</v>
      </c>
      <c r="P446">
        <v>10</v>
      </c>
      <c r="Q446">
        <v>2</v>
      </c>
      <c r="R446">
        <v>7</v>
      </c>
      <c r="S446">
        <v>9</v>
      </c>
      <c r="T446">
        <f t="shared" si="13"/>
        <v>0</v>
      </c>
    </row>
    <row r="447" spans="1:20" x14ac:dyDescent="0.2">
      <c r="A447">
        <v>446</v>
      </c>
      <c r="B447" t="s">
        <v>17</v>
      </c>
      <c r="C447" t="s">
        <v>509</v>
      </c>
      <c r="D447" t="s">
        <v>480</v>
      </c>
      <c r="E447">
        <v>19240400602</v>
      </c>
      <c r="F447" t="s">
        <v>36</v>
      </c>
      <c r="G447" t="s">
        <v>39</v>
      </c>
      <c r="H447" t="s">
        <v>42</v>
      </c>
      <c r="I447">
        <v>31</v>
      </c>
      <c r="J447">
        <v>28</v>
      </c>
      <c r="K447">
        <v>59</v>
      </c>
      <c r="L447">
        <v>41</v>
      </c>
      <c r="M447">
        <v>6</v>
      </c>
      <c r="N447">
        <v>7</v>
      </c>
      <c r="O447">
        <v>5</v>
      </c>
      <c r="P447">
        <v>9</v>
      </c>
      <c r="Q447">
        <v>6</v>
      </c>
      <c r="R447">
        <v>6</v>
      </c>
      <c r="S447">
        <v>12</v>
      </c>
      <c r="T447">
        <f t="shared" si="13"/>
        <v>0</v>
      </c>
    </row>
    <row r="448" spans="1:20" x14ac:dyDescent="0.2">
      <c r="A448">
        <v>447</v>
      </c>
      <c r="B448" t="s">
        <v>17</v>
      </c>
      <c r="C448" t="s">
        <v>509</v>
      </c>
      <c r="D448" t="s">
        <v>481</v>
      </c>
      <c r="E448">
        <v>19240400302</v>
      </c>
      <c r="F448" t="s">
        <v>37</v>
      </c>
      <c r="G448" t="s">
        <v>24</v>
      </c>
      <c r="H448" t="s">
        <v>42</v>
      </c>
      <c r="I448">
        <v>23</v>
      </c>
      <c r="J448">
        <v>37</v>
      </c>
      <c r="K448">
        <v>60</v>
      </c>
      <c r="L448">
        <v>41</v>
      </c>
      <c r="M448">
        <v>5</v>
      </c>
      <c r="N448">
        <v>6</v>
      </c>
      <c r="O448">
        <v>8</v>
      </c>
      <c r="P448">
        <v>9</v>
      </c>
      <c r="Q448">
        <v>0</v>
      </c>
      <c r="R448">
        <v>2</v>
      </c>
      <c r="S448">
        <v>2</v>
      </c>
      <c r="T448">
        <f t="shared" si="13"/>
        <v>0</v>
      </c>
    </row>
    <row r="449" spans="1:20" x14ac:dyDescent="0.2">
      <c r="A449">
        <v>448</v>
      </c>
      <c r="B449" t="s">
        <v>17</v>
      </c>
      <c r="C449" t="s">
        <v>509</v>
      </c>
      <c r="D449" t="s">
        <v>482</v>
      </c>
      <c r="E449">
        <v>19240400301</v>
      </c>
      <c r="F449" t="s">
        <v>35</v>
      </c>
      <c r="G449" t="s">
        <v>24</v>
      </c>
      <c r="H449" t="s">
        <v>44</v>
      </c>
      <c r="I449">
        <v>30</v>
      </c>
      <c r="J449">
        <v>35</v>
      </c>
      <c r="K449">
        <v>65</v>
      </c>
      <c r="L449">
        <v>42</v>
      </c>
      <c r="M449">
        <v>5</v>
      </c>
      <c r="N449">
        <v>8</v>
      </c>
      <c r="O449">
        <v>10</v>
      </c>
      <c r="P449">
        <v>6</v>
      </c>
      <c r="Q449">
        <v>5</v>
      </c>
      <c r="R449">
        <v>2</v>
      </c>
      <c r="S449">
        <v>7</v>
      </c>
      <c r="T449">
        <f t="shared" si="13"/>
        <v>0</v>
      </c>
    </row>
    <row r="450" spans="1:20" x14ac:dyDescent="0.2">
      <c r="A450">
        <v>449</v>
      </c>
      <c r="B450" t="s">
        <v>17</v>
      </c>
      <c r="C450" t="s">
        <v>509</v>
      </c>
      <c r="D450" t="s">
        <v>483</v>
      </c>
      <c r="E450">
        <v>19240400701</v>
      </c>
      <c r="F450" t="s">
        <v>37</v>
      </c>
      <c r="G450" t="s">
        <v>23</v>
      </c>
      <c r="H450" t="s">
        <v>43</v>
      </c>
      <c r="I450">
        <v>29</v>
      </c>
      <c r="J450">
        <v>24</v>
      </c>
      <c r="K450">
        <v>53</v>
      </c>
      <c r="L450">
        <v>33</v>
      </c>
      <c r="M450">
        <v>8</v>
      </c>
      <c r="N450">
        <v>6</v>
      </c>
      <c r="O450">
        <v>6</v>
      </c>
      <c r="P450">
        <v>7</v>
      </c>
      <c r="Q450">
        <v>0</v>
      </c>
      <c r="R450">
        <v>10</v>
      </c>
      <c r="S450">
        <v>10</v>
      </c>
      <c r="T450">
        <f t="shared" si="13"/>
        <v>0</v>
      </c>
    </row>
    <row r="451" spans="1:20" x14ac:dyDescent="0.2">
      <c r="A451">
        <v>450</v>
      </c>
      <c r="B451" t="s">
        <v>17</v>
      </c>
      <c r="C451" t="s">
        <v>509</v>
      </c>
      <c r="D451" t="s">
        <v>484</v>
      </c>
      <c r="E451">
        <v>19240401101</v>
      </c>
      <c r="F451" t="s">
        <v>36</v>
      </c>
      <c r="G451" t="s">
        <v>40</v>
      </c>
      <c r="H451" t="s">
        <v>42</v>
      </c>
      <c r="I451">
        <v>32</v>
      </c>
      <c r="J451">
        <v>38</v>
      </c>
      <c r="K451">
        <v>70</v>
      </c>
      <c r="L451">
        <v>41</v>
      </c>
      <c r="M451">
        <v>10</v>
      </c>
      <c r="N451">
        <v>9</v>
      </c>
      <c r="O451">
        <v>10</v>
      </c>
      <c r="P451">
        <v>6</v>
      </c>
      <c r="Q451">
        <v>1</v>
      </c>
      <c r="R451">
        <v>1</v>
      </c>
      <c r="S451">
        <v>2</v>
      </c>
      <c r="T451">
        <f t="shared" ref="T451:T471" si="15">IF(SUM(M451:P451) &gt; L451, 1, 0)</f>
        <v>0</v>
      </c>
    </row>
    <row r="452" spans="1:20" x14ac:dyDescent="0.2">
      <c r="A452">
        <v>451</v>
      </c>
      <c r="B452" t="s">
        <v>17</v>
      </c>
      <c r="C452" t="s">
        <v>509</v>
      </c>
      <c r="D452" t="s">
        <v>485</v>
      </c>
      <c r="E452">
        <v>19240401301</v>
      </c>
      <c r="F452" t="s">
        <v>35</v>
      </c>
      <c r="G452" t="s">
        <v>23</v>
      </c>
      <c r="H452" t="s">
        <v>41</v>
      </c>
      <c r="I452">
        <v>33</v>
      </c>
      <c r="J452">
        <v>29</v>
      </c>
      <c r="K452">
        <v>62</v>
      </c>
      <c r="L452">
        <v>40</v>
      </c>
      <c r="M452">
        <v>6</v>
      </c>
      <c r="N452">
        <v>7</v>
      </c>
      <c r="O452">
        <v>9</v>
      </c>
      <c r="P452">
        <v>10</v>
      </c>
      <c r="Q452">
        <v>0</v>
      </c>
      <c r="R452">
        <v>3</v>
      </c>
      <c r="S452">
        <v>3</v>
      </c>
      <c r="T452">
        <f t="shared" si="15"/>
        <v>0</v>
      </c>
    </row>
    <row r="453" spans="1:20" x14ac:dyDescent="0.2">
      <c r="A453">
        <v>452</v>
      </c>
      <c r="B453" t="s">
        <v>17</v>
      </c>
      <c r="C453" t="s">
        <v>509</v>
      </c>
      <c r="D453" t="s">
        <v>486</v>
      </c>
      <c r="E453">
        <v>19240400502</v>
      </c>
      <c r="F453" t="s">
        <v>36</v>
      </c>
      <c r="G453" t="s">
        <v>38</v>
      </c>
      <c r="H453" t="s">
        <v>42</v>
      </c>
      <c r="I453">
        <v>22</v>
      </c>
      <c r="J453">
        <v>40</v>
      </c>
      <c r="K453">
        <v>62</v>
      </c>
      <c r="L453">
        <v>40</v>
      </c>
      <c r="M453">
        <v>9</v>
      </c>
      <c r="N453">
        <v>6</v>
      </c>
      <c r="O453">
        <v>7</v>
      </c>
      <c r="P453">
        <v>6</v>
      </c>
      <c r="Q453">
        <v>0</v>
      </c>
      <c r="R453">
        <v>3</v>
      </c>
      <c r="S453">
        <v>3</v>
      </c>
      <c r="T453">
        <f t="shared" si="15"/>
        <v>0</v>
      </c>
    </row>
    <row r="454" spans="1:20" x14ac:dyDescent="0.2">
      <c r="A454">
        <v>453</v>
      </c>
      <c r="B454" t="s">
        <v>17</v>
      </c>
      <c r="C454" t="s">
        <v>509</v>
      </c>
      <c r="D454" t="s">
        <v>487</v>
      </c>
      <c r="E454">
        <v>19240401401</v>
      </c>
      <c r="F454" t="s">
        <v>36</v>
      </c>
      <c r="G454" t="s">
        <v>39</v>
      </c>
      <c r="H454" t="s">
        <v>41</v>
      </c>
      <c r="I454">
        <v>32</v>
      </c>
      <c r="J454">
        <v>39</v>
      </c>
      <c r="K454">
        <v>71</v>
      </c>
      <c r="L454">
        <v>52</v>
      </c>
      <c r="M454">
        <v>5</v>
      </c>
      <c r="N454">
        <v>9</v>
      </c>
      <c r="O454">
        <v>5</v>
      </c>
      <c r="P454">
        <v>7</v>
      </c>
      <c r="Q454">
        <v>0</v>
      </c>
      <c r="R454">
        <v>1</v>
      </c>
      <c r="S454">
        <v>1</v>
      </c>
      <c r="T454">
        <f t="shared" si="15"/>
        <v>0</v>
      </c>
    </row>
    <row r="455" spans="1:20" x14ac:dyDescent="0.2">
      <c r="A455">
        <v>454</v>
      </c>
      <c r="B455" t="s">
        <v>17</v>
      </c>
      <c r="C455" t="s">
        <v>22</v>
      </c>
      <c r="D455" t="s">
        <v>488</v>
      </c>
      <c r="E455">
        <v>19240106903</v>
      </c>
      <c r="F455" t="s">
        <v>36</v>
      </c>
      <c r="G455" t="s">
        <v>24</v>
      </c>
      <c r="H455" t="s">
        <v>42</v>
      </c>
      <c r="I455">
        <v>36</v>
      </c>
      <c r="J455">
        <v>27</v>
      </c>
      <c r="K455">
        <v>63</v>
      </c>
      <c r="L455">
        <v>38</v>
      </c>
      <c r="M455">
        <v>6</v>
      </c>
      <c r="N455">
        <v>9</v>
      </c>
      <c r="O455">
        <v>10</v>
      </c>
      <c r="P455">
        <v>5</v>
      </c>
      <c r="Q455">
        <v>9</v>
      </c>
      <c r="R455">
        <v>6</v>
      </c>
      <c r="S455">
        <v>15</v>
      </c>
      <c r="T455">
        <f t="shared" si="15"/>
        <v>0</v>
      </c>
    </row>
    <row r="456" spans="1:20" x14ac:dyDescent="0.2">
      <c r="A456">
        <v>455</v>
      </c>
      <c r="B456" t="s">
        <v>17</v>
      </c>
      <c r="C456" t="s">
        <v>509</v>
      </c>
      <c r="D456" t="s">
        <v>489</v>
      </c>
      <c r="E456">
        <v>19240401002</v>
      </c>
      <c r="F456" t="s">
        <v>35</v>
      </c>
      <c r="G456" t="s">
        <v>38</v>
      </c>
      <c r="H456" t="s">
        <v>43</v>
      </c>
      <c r="I456">
        <v>32</v>
      </c>
      <c r="J456">
        <v>27</v>
      </c>
      <c r="K456">
        <v>59</v>
      </c>
      <c r="L456">
        <v>32</v>
      </c>
      <c r="M456">
        <v>8</v>
      </c>
      <c r="N456">
        <v>10</v>
      </c>
      <c r="O456">
        <v>9</v>
      </c>
      <c r="P456">
        <v>9</v>
      </c>
      <c r="Q456">
        <v>4</v>
      </c>
      <c r="R456">
        <v>0</v>
      </c>
      <c r="S456">
        <v>4</v>
      </c>
      <c r="T456">
        <f t="shared" si="15"/>
        <v>1</v>
      </c>
    </row>
    <row r="457" spans="1:20" x14ac:dyDescent="0.2">
      <c r="A457">
        <v>456</v>
      </c>
      <c r="B457" t="s">
        <v>17</v>
      </c>
      <c r="C457" t="s">
        <v>509</v>
      </c>
      <c r="D457" t="s">
        <v>490</v>
      </c>
      <c r="E457">
        <v>19240401005</v>
      </c>
      <c r="F457" t="s">
        <v>36</v>
      </c>
      <c r="G457" t="s">
        <v>39</v>
      </c>
      <c r="H457" t="s">
        <v>42</v>
      </c>
      <c r="I457">
        <v>35</v>
      </c>
      <c r="J457">
        <v>31</v>
      </c>
      <c r="K457">
        <v>66</v>
      </c>
      <c r="L457">
        <v>41</v>
      </c>
      <c r="M457">
        <v>9</v>
      </c>
      <c r="N457">
        <v>6</v>
      </c>
      <c r="O457">
        <v>10</v>
      </c>
      <c r="P457">
        <v>8</v>
      </c>
      <c r="Q457">
        <v>10</v>
      </c>
      <c r="R457">
        <v>0</v>
      </c>
      <c r="S457">
        <v>10</v>
      </c>
      <c r="T457">
        <f t="shared" si="15"/>
        <v>0</v>
      </c>
    </row>
    <row r="458" spans="1:20" x14ac:dyDescent="0.2">
      <c r="A458">
        <v>457</v>
      </c>
      <c r="B458" t="s">
        <v>17</v>
      </c>
      <c r="C458" t="s">
        <v>22</v>
      </c>
      <c r="D458" t="s">
        <v>491</v>
      </c>
      <c r="E458">
        <v>19240106402</v>
      </c>
      <c r="F458" t="s">
        <v>37</v>
      </c>
      <c r="G458" t="s">
        <v>24</v>
      </c>
      <c r="H458" t="s">
        <v>42</v>
      </c>
      <c r="I458">
        <v>32</v>
      </c>
      <c r="J458">
        <v>32</v>
      </c>
      <c r="K458">
        <v>64</v>
      </c>
      <c r="L458">
        <v>36</v>
      </c>
      <c r="M458">
        <v>10</v>
      </c>
      <c r="N458">
        <v>8</v>
      </c>
      <c r="O458">
        <v>10</v>
      </c>
      <c r="P458">
        <v>9</v>
      </c>
      <c r="Q458">
        <v>5</v>
      </c>
      <c r="R458">
        <v>9</v>
      </c>
      <c r="S458">
        <v>14</v>
      </c>
      <c r="T458">
        <f t="shared" si="15"/>
        <v>1</v>
      </c>
    </row>
    <row r="459" spans="1:20" x14ac:dyDescent="0.2">
      <c r="A459">
        <v>458</v>
      </c>
      <c r="B459" t="s">
        <v>17</v>
      </c>
      <c r="C459" t="s">
        <v>22</v>
      </c>
      <c r="D459" t="s">
        <v>492</v>
      </c>
      <c r="E459">
        <v>19240105902</v>
      </c>
      <c r="F459" t="s">
        <v>35</v>
      </c>
      <c r="G459" t="s">
        <v>24</v>
      </c>
      <c r="H459" t="s">
        <v>44</v>
      </c>
      <c r="I459">
        <v>36</v>
      </c>
      <c r="J459">
        <v>29</v>
      </c>
      <c r="K459">
        <v>65</v>
      </c>
      <c r="L459">
        <v>42</v>
      </c>
      <c r="M459">
        <v>8</v>
      </c>
      <c r="N459">
        <v>10</v>
      </c>
      <c r="O459">
        <v>5</v>
      </c>
      <c r="P459">
        <v>7</v>
      </c>
      <c r="Q459">
        <v>5</v>
      </c>
      <c r="R459">
        <v>5</v>
      </c>
      <c r="S459">
        <v>10</v>
      </c>
      <c r="T459">
        <f t="shared" si="15"/>
        <v>0</v>
      </c>
    </row>
    <row r="460" spans="1:20" x14ac:dyDescent="0.2">
      <c r="A460">
        <v>459</v>
      </c>
      <c r="B460" t="s">
        <v>17</v>
      </c>
      <c r="C460" t="s">
        <v>22</v>
      </c>
      <c r="D460" t="s">
        <v>493</v>
      </c>
      <c r="E460">
        <v>19240104602</v>
      </c>
      <c r="F460" t="s">
        <v>37</v>
      </c>
      <c r="G460" t="s">
        <v>23</v>
      </c>
      <c r="H460" t="s">
        <v>43</v>
      </c>
      <c r="I460">
        <v>37</v>
      </c>
      <c r="J460">
        <v>38</v>
      </c>
      <c r="K460">
        <v>75</v>
      </c>
      <c r="L460">
        <v>53</v>
      </c>
      <c r="M460">
        <v>7</v>
      </c>
      <c r="N460">
        <v>9</v>
      </c>
      <c r="O460">
        <v>6</v>
      </c>
      <c r="P460">
        <v>7</v>
      </c>
      <c r="Q460">
        <v>6</v>
      </c>
      <c r="R460">
        <v>0</v>
      </c>
      <c r="S460">
        <v>6</v>
      </c>
      <c r="T460">
        <f t="shared" si="15"/>
        <v>0</v>
      </c>
    </row>
    <row r="461" spans="1:20" x14ac:dyDescent="0.2">
      <c r="A461">
        <v>460</v>
      </c>
      <c r="B461" t="s">
        <v>17</v>
      </c>
      <c r="C461" t="s">
        <v>22</v>
      </c>
      <c r="D461" t="s">
        <v>494</v>
      </c>
      <c r="E461">
        <v>19240103502</v>
      </c>
      <c r="F461" t="s">
        <v>36</v>
      </c>
      <c r="G461" t="s">
        <v>40</v>
      </c>
      <c r="H461" t="s">
        <v>42</v>
      </c>
      <c r="I461">
        <v>23</v>
      </c>
      <c r="J461">
        <v>23</v>
      </c>
      <c r="K461">
        <v>46</v>
      </c>
      <c r="L461">
        <v>22</v>
      </c>
      <c r="M461">
        <v>8</v>
      </c>
      <c r="N461">
        <v>10</v>
      </c>
      <c r="O461">
        <v>6</v>
      </c>
      <c r="P461">
        <v>5</v>
      </c>
      <c r="Q461">
        <v>6</v>
      </c>
      <c r="R461">
        <v>8</v>
      </c>
      <c r="S461">
        <v>14</v>
      </c>
      <c r="T461">
        <f t="shared" si="15"/>
        <v>1</v>
      </c>
    </row>
    <row r="462" spans="1:20" x14ac:dyDescent="0.2">
      <c r="A462">
        <v>461</v>
      </c>
      <c r="B462" t="s">
        <v>17</v>
      </c>
      <c r="C462" t="s">
        <v>509</v>
      </c>
      <c r="D462" t="s">
        <v>495</v>
      </c>
      <c r="E462">
        <v>19240401001</v>
      </c>
      <c r="F462" t="s">
        <v>35</v>
      </c>
      <c r="G462" t="s">
        <v>23</v>
      </c>
      <c r="H462" t="s">
        <v>41</v>
      </c>
      <c r="I462">
        <v>35</v>
      </c>
      <c r="J462">
        <v>39</v>
      </c>
      <c r="K462">
        <v>74</v>
      </c>
      <c r="L462">
        <v>52</v>
      </c>
      <c r="M462">
        <v>10</v>
      </c>
      <c r="N462">
        <v>5</v>
      </c>
      <c r="O462">
        <v>7</v>
      </c>
      <c r="P462">
        <v>6</v>
      </c>
      <c r="Q462">
        <v>7</v>
      </c>
      <c r="R462">
        <v>5</v>
      </c>
      <c r="S462">
        <v>12</v>
      </c>
      <c r="T462">
        <f t="shared" si="15"/>
        <v>0</v>
      </c>
    </row>
    <row r="463" spans="1:20" x14ac:dyDescent="0.2">
      <c r="A463">
        <v>462</v>
      </c>
      <c r="B463" t="s">
        <v>17</v>
      </c>
      <c r="C463" t="s">
        <v>509</v>
      </c>
      <c r="D463" t="s">
        <v>496</v>
      </c>
      <c r="E463">
        <v>19240400901</v>
      </c>
      <c r="F463" t="s">
        <v>36</v>
      </c>
      <c r="G463" t="s">
        <v>38</v>
      </c>
      <c r="H463" t="s">
        <v>42</v>
      </c>
      <c r="I463">
        <v>40</v>
      </c>
      <c r="J463">
        <v>25</v>
      </c>
      <c r="K463">
        <v>65</v>
      </c>
      <c r="L463">
        <v>41</v>
      </c>
      <c r="M463">
        <v>10</v>
      </c>
      <c r="N463">
        <v>5</v>
      </c>
      <c r="O463">
        <v>9</v>
      </c>
      <c r="P463">
        <v>5</v>
      </c>
      <c r="Q463">
        <v>10</v>
      </c>
      <c r="R463">
        <v>5</v>
      </c>
      <c r="S463">
        <v>15</v>
      </c>
      <c r="T463">
        <f t="shared" si="15"/>
        <v>0</v>
      </c>
    </row>
    <row r="464" spans="1:20" x14ac:dyDescent="0.2">
      <c r="A464">
        <v>463</v>
      </c>
      <c r="B464" t="s">
        <v>17</v>
      </c>
      <c r="C464" t="s">
        <v>509</v>
      </c>
      <c r="D464" t="s">
        <v>497</v>
      </c>
      <c r="E464">
        <v>19240400902</v>
      </c>
      <c r="F464" t="s">
        <v>36</v>
      </c>
      <c r="G464" t="s">
        <v>39</v>
      </c>
      <c r="H464" t="s">
        <v>41</v>
      </c>
      <c r="I464">
        <v>22</v>
      </c>
      <c r="J464">
        <v>28</v>
      </c>
      <c r="K464">
        <v>50</v>
      </c>
      <c r="L464">
        <v>23</v>
      </c>
      <c r="M464">
        <v>10</v>
      </c>
      <c r="N464">
        <v>10</v>
      </c>
      <c r="O464">
        <v>7</v>
      </c>
      <c r="P464">
        <v>5</v>
      </c>
      <c r="Q464">
        <v>8</v>
      </c>
      <c r="R464">
        <v>1</v>
      </c>
      <c r="S464">
        <v>9</v>
      </c>
      <c r="T464">
        <f t="shared" si="15"/>
        <v>1</v>
      </c>
    </row>
    <row r="465" spans="1:20" x14ac:dyDescent="0.2">
      <c r="A465">
        <v>464</v>
      </c>
      <c r="B465" t="s">
        <v>17</v>
      </c>
      <c r="C465" t="s">
        <v>509</v>
      </c>
      <c r="D465" t="s">
        <v>498</v>
      </c>
      <c r="E465">
        <v>19240401501</v>
      </c>
      <c r="F465" t="s">
        <v>36</v>
      </c>
      <c r="G465" t="s">
        <v>24</v>
      </c>
      <c r="H465" t="s">
        <v>42</v>
      </c>
      <c r="I465">
        <v>30</v>
      </c>
      <c r="J465">
        <v>37</v>
      </c>
      <c r="K465">
        <v>67</v>
      </c>
      <c r="L465">
        <v>45</v>
      </c>
      <c r="M465">
        <v>8</v>
      </c>
      <c r="N465">
        <v>9</v>
      </c>
      <c r="O465">
        <v>5</v>
      </c>
      <c r="P465">
        <v>5</v>
      </c>
      <c r="Q465">
        <v>0</v>
      </c>
      <c r="R465">
        <v>8</v>
      </c>
      <c r="S465">
        <v>8</v>
      </c>
      <c r="T465">
        <f t="shared" si="15"/>
        <v>0</v>
      </c>
    </row>
    <row r="466" spans="1:20" x14ac:dyDescent="0.2">
      <c r="A466">
        <v>465</v>
      </c>
      <c r="B466" t="s">
        <v>17</v>
      </c>
      <c r="C466" t="s">
        <v>509</v>
      </c>
      <c r="D466" t="s">
        <v>499</v>
      </c>
      <c r="E466">
        <v>19240400601</v>
      </c>
      <c r="F466" t="s">
        <v>35</v>
      </c>
      <c r="G466" t="s">
        <v>38</v>
      </c>
      <c r="H466" t="s">
        <v>43</v>
      </c>
      <c r="I466">
        <v>24</v>
      </c>
      <c r="J466">
        <v>24</v>
      </c>
      <c r="K466">
        <v>48</v>
      </c>
      <c r="L466">
        <v>28</v>
      </c>
      <c r="M466">
        <v>7</v>
      </c>
      <c r="N466">
        <v>6</v>
      </c>
      <c r="O466">
        <v>7</v>
      </c>
      <c r="P466">
        <v>6</v>
      </c>
      <c r="Q466">
        <v>2</v>
      </c>
      <c r="R466">
        <v>6</v>
      </c>
      <c r="S466">
        <v>8</v>
      </c>
      <c r="T466">
        <f t="shared" si="15"/>
        <v>0</v>
      </c>
    </row>
    <row r="467" spans="1:20" x14ac:dyDescent="0.2">
      <c r="A467">
        <v>466</v>
      </c>
      <c r="B467" t="s">
        <v>17</v>
      </c>
      <c r="C467" t="s">
        <v>509</v>
      </c>
      <c r="D467" t="s">
        <v>500</v>
      </c>
      <c r="E467">
        <v>19240401502</v>
      </c>
      <c r="F467" t="s">
        <v>36</v>
      </c>
      <c r="G467" t="s">
        <v>39</v>
      </c>
      <c r="H467" t="s">
        <v>42</v>
      </c>
      <c r="I467">
        <v>40</v>
      </c>
      <c r="J467">
        <v>32</v>
      </c>
      <c r="K467">
        <v>72</v>
      </c>
      <c r="L467">
        <v>47</v>
      </c>
      <c r="M467">
        <v>9</v>
      </c>
      <c r="N467">
        <v>10</v>
      </c>
      <c r="O467">
        <v>6</v>
      </c>
      <c r="P467">
        <v>10</v>
      </c>
      <c r="Q467">
        <v>3</v>
      </c>
      <c r="R467">
        <v>4</v>
      </c>
      <c r="S467">
        <v>7</v>
      </c>
      <c r="T467">
        <f t="shared" si="15"/>
        <v>0</v>
      </c>
    </row>
    <row r="468" spans="1:20" x14ac:dyDescent="0.2">
      <c r="A468">
        <v>467</v>
      </c>
      <c r="B468" t="s">
        <v>17</v>
      </c>
      <c r="C468" t="s">
        <v>22</v>
      </c>
      <c r="D468" t="s">
        <v>501</v>
      </c>
      <c r="E468">
        <v>19240101602</v>
      </c>
      <c r="F468" t="s">
        <v>37</v>
      </c>
      <c r="G468" t="s">
        <v>24</v>
      </c>
      <c r="H468" t="s">
        <v>42</v>
      </c>
      <c r="I468">
        <v>24</v>
      </c>
      <c r="J468">
        <v>36</v>
      </c>
      <c r="K468">
        <v>60</v>
      </c>
      <c r="L468">
        <v>37</v>
      </c>
      <c r="M468">
        <v>7</v>
      </c>
      <c r="N468">
        <v>9</v>
      </c>
      <c r="O468">
        <v>7</v>
      </c>
      <c r="P468">
        <v>5</v>
      </c>
      <c r="Q468">
        <v>7</v>
      </c>
      <c r="R468">
        <v>10</v>
      </c>
      <c r="S468">
        <v>17</v>
      </c>
      <c r="T468">
        <f t="shared" si="15"/>
        <v>0</v>
      </c>
    </row>
    <row r="469" spans="1:20" x14ac:dyDescent="0.2">
      <c r="A469">
        <v>468</v>
      </c>
      <c r="B469" t="s">
        <v>17</v>
      </c>
      <c r="C469" t="s">
        <v>22</v>
      </c>
      <c r="D469" t="s">
        <v>502</v>
      </c>
      <c r="E469">
        <v>19240101401</v>
      </c>
      <c r="F469" t="s">
        <v>35</v>
      </c>
      <c r="G469" t="s">
        <v>24</v>
      </c>
      <c r="H469" t="s">
        <v>44</v>
      </c>
      <c r="I469">
        <v>28</v>
      </c>
      <c r="J469">
        <v>20</v>
      </c>
      <c r="K469">
        <v>48</v>
      </c>
      <c r="L469">
        <v>29</v>
      </c>
      <c r="M469">
        <v>5</v>
      </c>
      <c r="N469">
        <v>6</v>
      </c>
      <c r="O469">
        <v>8</v>
      </c>
      <c r="P469">
        <v>10</v>
      </c>
      <c r="Q469">
        <v>0</v>
      </c>
      <c r="R469">
        <v>2</v>
      </c>
      <c r="S469">
        <v>2</v>
      </c>
      <c r="T469">
        <f t="shared" si="15"/>
        <v>0</v>
      </c>
    </row>
    <row r="470" spans="1:20" x14ac:dyDescent="0.2">
      <c r="A470">
        <v>469</v>
      </c>
      <c r="B470" t="s">
        <v>17</v>
      </c>
      <c r="C470" t="s">
        <v>22</v>
      </c>
      <c r="D470" t="s">
        <v>503</v>
      </c>
      <c r="E470">
        <v>19240101101</v>
      </c>
      <c r="F470" t="s">
        <v>37</v>
      </c>
      <c r="G470" t="s">
        <v>23</v>
      </c>
      <c r="H470" t="s">
        <v>43</v>
      </c>
      <c r="I470">
        <v>28</v>
      </c>
      <c r="J470">
        <v>28</v>
      </c>
      <c r="K470">
        <v>56</v>
      </c>
      <c r="L470">
        <v>31</v>
      </c>
      <c r="M470">
        <v>8</v>
      </c>
      <c r="N470">
        <v>10</v>
      </c>
      <c r="O470">
        <v>7</v>
      </c>
      <c r="P470">
        <v>10</v>
      </c>
      <c r="Q470">
        <v>5</v>
      </c>
      <c r="R470">
        <v>8</v>
      </c>
      <c r="S470">
        <v>13</v>
      </c>
      <c r="T470">
        <f t="shared" si="15"/>
        <v>1</v>
      </c>
    </row>
    <row r="471" spans="1:20" x14ac:dyDescent="0.2">
      <c r="A471">
        <v>470</v>
      </c>
      <c r="B471" t="s">
        <v>17</v>
      </c>
      <c r="C471" t="s">
        <v>509</v>
      </c>
      <c r="D471" t="s">
        <v>504</v>
      </c>
      <c r="E471">
        <v>19240401503</v>
      </c>
      <c r="F471" t="s">
        <v>36</v>
      </c>
      <c r="G471" t="s">
        <v>40</v>
      </c>
      <c r="H471" t="s">
        <v>42</v>
      </c>
      <c r="I471">
        <v>33</v>
      </c>
      <c r="J471">
        <v>39</v>
      </c>
      <c r="K471">
        <v>72</v>
      </c>
      <c r="L471">
        <v>49</v>
      </c>
      <c r="M471">
        <v>8</v>
      </c>
      <c r="N471">
        <v>9</v>
      </c>
      <c r="O471">
        <v>6</v>
      </c>
      <c r="P471">
        <v>7</v>
      </c>
      <c r="Q471">
        <v>5</v>
      </c>
      <c r="R471">
        <v>4</v>
      </c>
      <c r="S471">
        <v>9</v>
      </c>
      <c r="T471">
        <f t="shared" si="15"/>
        <v>0</v>
      </c>
    </row>
  </sheetData>
  <autoFilter ref="A1:T471" xr:uid="{8948A367-80F1-F44A-ABFB-363A294C678A}"/>
  <dataValidations count="7">
    <dataValidation type="list" allowBlank="1" showInputMessage="1" showErrorMessage="1" sqref="C2:C471" xr:uid="{82FC9D8F-B711-6043-ABB9-ABED17547A9F}">
      <formula1>"Kalimpong-I, Kalimpong-II, Gorubathan, Kalimpong Municipality"</formula1>
    </dataValidation>
    <dataValidation type="whole" operator="greaterThanOrEqual" allowBlank="1" showInputMessage="1" showErrorMessage="1" sqref="I2:S471" xr:uid="{C24469CE-DB4B-5D49-8D97-65D4363723FE}">
      <formula1>0</formula1>
    </dataValidation>
    <dataValidation type="list" allowBlank="1" showInputMessage="1" showErrorMessage="1" sqref="F2:F471" xr:uid="{B7ECFE6F-7369-4F4A-9A1A-AB81B8E66D56}">
      <formula1>"Department of Education, Government Sponsored, Madrasa Recognized"</formula1>
    </dataValidation>
    <dataValidation type="list" allowBlank="1" showInputMessage="1" showErrorMessage="1" sqref="H2:H471" xr:uid="{B575594D-6D16-C946-B0A7-75D980891876}">
      <formula1>"Pre-Primary, Class 1, Class 5, Class 6, Class 9, Class 11"</formula1>
    </dataValidation>
    <dataValidation type="list" allowBlank="1" showInputMessage="1" showErrorMessage="1" sqref="G2:G471" xr:uid="{2BA60109-DE4B-7746-B313-E7683E3F9F76}">
      <formula1>"Class 12, Class 10, Class 8, Class 5, Class 4"</formula1>
    </dataValidation>
    <dataValidation type="whole" allowBlank="1" showInputMessage="1" showErrorMessage="1" sqref="E2:E11" xr:uid="{5FBEF85A-D1E1-BD41-8E71-56F3B73A5753}">
      <formula1>19240100000</formula1>
      <formula2>19240409999</formula2>
    </dataValidation>
    <dataValidation type="list" allowBlank="1" showInputMessage="1" showErrorMessage="1" sqref="B2:B471" xr:uid="{FDDA3FF3-C09E-6948-8510-D39ED60BA3CF}">
      <formula1>"Kalimpong"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A243-A0BD-BA4C-88B0-656B5F3EFC45}">
  <dimension ref="A1:L471"/>
  <sheetViews>
    <sheetView topLeftCell="D1" workbookViewId="0">
      <selection activeCell="E2" sqref="E2:G2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20.5" bestFit="1" customWidth="1"/>
    <col min="4" max="4" width="12" bestFit="1" customWidth="1"/>
    <col min="5" max="5" width="12.1640625" bestFit="1" customWidth="1"/>
    <col min="6" max="6" width="22" bestFit="1" customWidth="1"/>
    <col min="7" max="7" width="17.83203125" bestFit="1" customWidth="1"/>
    <col min="8" max="8" width="9.1640625" bestFit="1" customWidth="1"/>
    <col min="9" max="9" width="11" bestFit="1" customWidth="1"/>
    <col min="10" max="10" width="6.6640625" bestFit="1" customWidth="1"/>
    <col min="11" max="12" width="10.1640625" bestFit="1" customWidth="1"/>
  </cols>
  <sheetData>
    <row r="1" spans="1:12" x14ac:dyDescent="0.2">
      <c r="A1" t="s">
        <v>21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513</v>
      </c>
      <c r="H1" t="s">
        <v>514</v>
      </c>
      <c r="I1" t="s">
        <v>515</v>
      </c>
      <c r="J1" t="s">
        <v>516</v>
      </c>
      <c r="K1" t="s">
        <v>517</v>
      </c>
      <c r="L1" t="s">
        <v>518</v>
      </c>
    </row>
    <row r="2" spans="1:12" x14ac:dyDescent="0.2">
      <c r="A2">
        <v>1</v>
      </c>
      <c r="B2" t="s">
        <v>17</v>
      </c>
      <c r="C2" t="s">
        <v>22</v>
      </c>
      <c r="D2" t="s">
        <v>25</v>
      </c>
      <c r="E2">
        <v>19240106801</v>
      </c>
      <c r="F2" t="s">
        <v>35</v>
      </c>
      <c r="G2" t="s">
        <v>519</v>
      </c>
      <c r="H2" t="s">
        <v>520</v>
      </c>
      <c r="I2" t="s">
        <v>520</v>
      </c>
      <c r="J2" t="s">
        <v>519</v>
      </c>
      <c r="K2">
        <v>1</v>
      </c>
      <c r="L2">
        <v>1</v>
      </c>
    </row>
    <row r="3" spans="1:12" x14ac:dyDescent="0.2">
      <c r="A3">
        <v>2</v>
      </c>
      <c r="B3" t="s">
        <v>17</v>
      </c>
      <c r="C3" t="s">
        <v>22</v>
      </c>
      <c r="D3" t="s">
        <v>26</v>
      </c>
      <c r="E3">
        <v>19240106301</v>
      </c>
      <c r="F3" t="s">
        <v>36</v>
      </c>
      <c r="G3" t="s">
        <v>519</v>
      </c>
      <c r="H3" t="s">
        <v>520</v>
      </c>
      <c r="I3" t="s">
        <v>520</v>
      </c>
      <c r="J3" t="s">
        <v>519</v>
      </c>
      <c r="K3">
        <v>1</v>
      </c>
      <c r="L3">
        <v>1</v>
      </c>
    </row>
    <row r="4" spans="1:12" x14ac:dyDescent="0.2">
      <c r="A4">
        <v>3</v>
      </c>
      <c r="B4" t="s">
        <v>17</v>
      </c>
      <c r="C4" t="s">
        <v>22</v>
      </c>
      <c r="D4" t="s">
        <v>27</v>
      </c>
      <c r="E4">
        <v>19240106304</v>
      </c>
      <c r="F4" t="s">
        <v>36</v>
      </c>
      <c r="G4" t="s">
        <v>520</v>
      </c>
      <c r="H4" t="s">
        <v>520</v>
      </c>
      <c r="I4" t="s">
        <v>520</v>
      </c>
      <c r="J4" t="s">
        <v>519</v>
      </c>
      <c r="K4">
        <v>2</v>
      </c>
      <c r="L4">
        <v>1</v>
      </c>
    </row>
    <row r="5" spans="1:12" x14ac:dyDescent="0.2">
      <c r="A5">
        <v>4</v>
      </c>
      <c r="B5" t="s">
        <v>17</v>
      </c>
      <c r="C5" t="s">
        <v>22</v>
      </c>
      <c r="D5" t="s">
        <v>28</v>
      </c>
      <c r="E5">
        <v>19240105901</v>
      </c>
      <c r="F5" t="s">
        <v>36</v>
      </c>
      <c r="G5" t="s">
        <v>519</v>
      </c>
      <c r="H5" t="s">
        <v>520</v>
      </c>
      <c r="I5" t="s">
        <v>520</v>
      </c>
      <c r="J5" t="s">
        <v>519</v>
      </c>
      <c r="K5">
        <v>3</v>
      </c>
      <c r="L5">
        <v>1</v>
      </c>
    </row>
    <row r="6" spans="1:12" x14ac:dyDescent="0.2">
      <c r="A6">
        <v>5</v>
      </c>
      <c r="B6" t="s">
        <v>17</v>
      </c>
      <c r="C6" t="s">
        <v>22</v>
      </c>
      <c r="D6" t="s">
        <v>29</v>
      </c>
      <c r="E6">
        <v>19240105801</v>
      </c>
      <c r="F6" t="s">
        <v>35</v>
      </c>
      <c r="G6" t="s">
        <v>519</v>
      </c>
      <c r="H6" t="s">
        <v>520</v>
      </c>
      <c r="I6" t="s">
        <v>520</v>
      </c>
      <c r="J6" t="s">
        <v>519</v>
      </c>
      <c r="K6">
        <v>1</v>
      </c>
      <c r="L6">
        <v>1</v>
      </c>
    </row>
    <row r="7" spans="1:12" x14ac:dyDescent="0.2">
      <c r="A7">
        <v>6</v>
      </c>
      <c r="B7" t="s">
        <v>17</v>
      </c>
      <c r="C7" t="s">
        <v>22</v>
      </c>
      <c r="D7" t="s">
        <v>30</v>
      </c>
      <c r="E7">
        <v>19240105502</v>
      </c>
      <c r="F7" t="s">
        <v>36</v>
      </c>
      <c r="G7" t="s">
        <v>519</v>
      </c>
      <c r="H7" t="s">
        <v>520</v>
      </c>
      <c r="I7" t="s">
        <v>520</v>
      </c>
      <c r="J7" t="s">
        <v>519</v>
      </c>
      <c r="K7">
        <v>3</v>
      </c>
      <c r="L7">
        <v>1</v>
      </c>
    </row>
    <row r="8" spans="1:12" x14ac:dyDescent="0.2">
      <c r="A8">
        <v>7</v>
      </c>
      <c r="B8" t="s">
        <v>17</v>
      </c>
      <c r="C8" t="s">
        <v>22</v>
      </c>
      <c r="D8" t="s">
        <v>31</v>
      </c>
      <c r="E8">
        <v>19240104802</v>
      </c>
      <c r="F8" t="s">
        <v>37</v>
      </c>
      <c r="G8" t="s">
        <v>520</v>
      </c>
      <c r="H8" t="s">
        <v>519</v>
      </c>
      <c r="I8" t="s">
        <v>520</v>
      </c>
      <c r="J8" t="s">
        <v>519</v>
      </c>
      <c r="K8">
        <v>3</v>
      </c>
      <c r="L8">
        <v>1</v>
      </c>
    </row>
    <row r="9" spans="1:12" x14ac:dyDescent="0.2">
      <c r="A9">
        <v>8</v>
      </c>
      <c r="B9" t="s">
        <v>17</v>
      </c>
      <c r="C9" t="s">
        <v>22</v>
      </c>
      <c r="D9" t="s">
        <v>32</v>
      </c>
      <c r="E9">
        <v>19240107103</v>
      </c>
      <c r="F9" t="s">
        <v>35</v>
      </c>
      <c r="G9" t="s">
        <v>520</v>
      </c>
      <c r="H9" t="s">
        <v>520</v>
      </c>
      <c r="I9" t="s">
        <v>520</v>
      </c>
      <c r="J9" t="s">
        <v>519</v>
      </c>
      <c r="K9">
        <v>3</v>
      </c>
      <c r="L9">
        <v>1</v>
      </c>
    </row>
    <row r="10" spans="1:12" x14ac:dyDescent="0.2">
      <c r="A10">
        <v>9</v>
      </c>
      <c r="B10" t="s">
        <v>17</v>
      </c>
      <c r="C10" t="s">
        <v>22</v>
      </c>
      <c r="D10" t="s">
        <v>33</v>
      </c>
      <c r="E10">
        <v>19240100201</v>
      </c>
      <c r="F10" t="s">
        <v>37</v>
      </c>
      <c r="G10" t="s">
        <v>519</v>
      </c>
      <c r="H10" t="s">
        <v>520</v>
      </c>
      <c r="I10" t="s">
        <v>520</v>
      </c>
      <c r="J10" t="s">
        <v>519</v>
      </c>
      <c r="K10">
        <v>1</v>
      </c>
      <c r="L10">
        <v>1</v>
      </c>
    </row>
    <row r="11" spans="1:12" x14ac:dyDescent="0.2">
      <c r="A11">
        <v>10</v>
      </c>
      <c r="B11" t="s">
        <v>17</v>
      </c>
      <c r="C11" t="s">
        <v>22</v>
      </c>
      <c r="D11" t="s">
        <v>34</v>
      </c>
      <c r="E11">
        <v>19240100103</v>
      </c>
      <c r="F11" t="s">
        <v>36</v>
      </c>
      <c r="G11" t="s">
        <v>519</v>
      </c>
      <c r="H11" t="s">
        <v>519</v>
      </c>
      <c r="I11" t="s">
        <v>520</v>
      </c>
      <c r="J11" t="s">
        <v>519</v>
      </c>
      <c r="K11">
        <v>1</v>
      </c>
      <c r="L11">
        <v>1</v>
      </c>
    </row>
    <row r="12" spans="1:12" x14ac:dyDescent="0.2">
      <c r="A12">
        <v>11</v>
      </c>
      <c r="B12" t="s">
        <v>17</v>
      </c>
      <c r="C12" t="s">
        <v>509</v>
      </c>
      <c r="D12" t="s">
        <v>45</v>
      </c>
      <c r="E12">
        <v>19240401504</v>
      </c>
      <c r="F12" t="s">
        <v>35</v>
      </c>
      <c r="G12" t="s">
        <v>519</v>
      </c>
      <c r="H12" t="s">
        <v>519</v>
      </c>
      <c r="I12" t="s">
        <v>520</v>
      </c>
      <c r="J12" t="s">
        <v>519</v>
      </c>
      <c r="K12">
        <v>1</v>
      </c>
      <c r="L12">
        <v>1</v>
      </c>
    </row>
    <row r="13" spans="1:12" x14ac:dyDescent="0.2">
      <c r="A13">
        <v>12</v>
      </c>
      <c r="B13" t="s">
        <v>17</v>
      </c>
      <c r="C13" t="s">
        <v>22</v>
      </c>
      <c r="D13" t="s">
        <v>46</v>
      </c>
      <c r="E13">
        <v>19240100901</v>
      </c>
      <c r="F13" t="s">
        <v>36</v>
      </c>
      <c r="G13" t="s">
        <v>520</v>
      </c>
      <c r="H13" t="s">
        <v>520</v>
      </c>
      <c r="I13" t="s">
        <v>520</v>
      </c>
      <c r="J13" t="s">
        <v>519</v>
      </c>
      <c r="K13">
        <v>3</v>
      </c>
      <c r="L13">
        <v>1</v>
      </c>
    </row>
    <row r="14" spans="1:12" x14ac:dyDescent="0.2">
      <c r="A14">
        <v>13</v>
      </c>
      <c r="B14" t="s">
        <v>17</v>
      </c>
      <c r="C14" t="s">
        <v>22</v>
      </c>
      <c r="D14" t="s">
        <v>47</v>
      </c>
      <c r="E14">
        <v>19240102001</v>
      </c>
      <c r="F14" t="s">
        <v>36</v>
      </c>
      <c r="G14" t="s">
        <v>520</v>
      </c>
      <c r="H14" t="s">
        <v>519</v>
      </c>
      <c r="I14" t="s">
        <v>520</v>
      </c>
      <c r="J14" t="s">
        <v>519</v>
      </c>
      <c r="K14">
        <v>1</v>
      </c>
      <c r="L14">
        <v>1</v>
      </c>
    </row>
    <row r="15" spans="1:12" x14ac:dyDescent="0.2">
      <c r="A15">
        <v>14</v>
      </c>
      <c r="B15" t="s">
        <v>17</v>
      </c>
      <c r="C15" t="s">
        <v>22</v>
      </c>
      <c r="D15" t="s">
        <v>48</v>
      </c>
      <c r="E15">
        <v>19240102401</v>
      </c>
      <c r="F15" t="s">
        <v>36</v>
      </c>
      <c r="G15" t="s">
        <v>520</v>
      </c>
      <c r="H15" t="s">
        <v>520</v>
      </c>
      <c r="I15" t="s">
        <v>520</v>
      </c>
      <c r="J15" t="s">
        <v>519</v>
      </c>
      <c r="K15">
        <v>3</v>
      </c>
      <c r="L15">
        <v>1</v>
      </c>
    </row>
    <row r="16" spans="1:12" x14ac:dyDescent="0.2">
      <c r="A16">
        <v>15</v>
      </c>
      <c r="B16" t="s">
        <v>17</v>
      </c>
      <c r="C16" t="s">
        <v>22</v>
      </c>
      <c r="D16" t="s">
        <v>49</v>
      </c>
      <c r="E16">
        <v>19240105201</v>
      </c>
      <c r="F16" t="s">
        <v>35</v>
      </c>
      <c r="G16" t="s">
        <v>520</v>
      </c>
      <c r="H16" t="s">
        <v>519</v>
      </c>
      <c r="I16" t="s">
        <v>520</v>
      </c>
      <c r="J16" t="s">
        <v>519</v>
      </c>
      <c r="K16">
        <v>1</v>
      </c>
      <c r="L16">
        <v>1</v>
      </c>
    </row>
    <row r="17" spans="1:12" x14ac:dyDescent="0.2">
      <c r="A17">
        <v>16</v>
      </c>
      <c r="B17" t="s">
        <v>17</v>
      </c>
      <c r="C17" t="s">
        <v>22</v>
      </c>
      <c r="D17" t="s">
        <v>50</v>
      </c>
      <c r="E17">
        <v>19240105601</v>
      </c>
      <c r="F17" t="s">
        <v>36</v>
      </c>
      <c r="G17" t="s">
        <v>519</v>
      </c>
      <c r="H17" t="s">
        <v>520</v>
      </c>
      <c r="I17" t="s">
        <v>520</v>
      </c>
      <c r="J17" t="s">
        <v>519</v>
      </c>
      <c r="K17">
        <v>3</v>
      </c>
      <c r="L17">
        <v>2</v>
      </c>
    </row>
    <row r="18" spans="1:12" x14ac:dyDescent="0.2">
      <c r="A18">
        <v>17</v>
      </c>
      <c r="B18" t="s">
        <v>17</v>
      </c>
      <c r="C18" t="s">
        <v>22</v>
      </c>
      <c r="D18" t="s">
        <v>51</v>
      </c>
      <c r="E18">
        <v>19240101402</v>
      </c>
      <c r="F18" t="s">
        <v>37</v>
      </c>
      <c r="G18" t="s">
        <v>520</v>
      </c>
      <c r="H18" t="s">
        <v>519</v>
      </c>
      <c r="I18" t="s">
        <v>520</v>
      </c>
      <c r="J18" t="s">
        <v>519</v>
      </c>
      <c r="K18">
        <v>1</v>
      </c>
      <c r="L18">
        <v>1</v>
      </c>
    </row>
    <row r="19" spans="1:12" x14ac:dyDescent="0.2">
      <c r="A19">
        <v>18</v>
      </c>
      <c r="B19" t="s">
        <v>17</v>
      </c>
      <c r="C19" t="s">
        <v>22</v>
      </c>
      <c r="D19" t="s">
        <v>52</v>
      </c>
      <c r="E19">
        <v>19240105701</v>
      </c>
      <c r="F19" t="s">
        <v>35</v>
      </c>
      <c r="G19" t="s">
        <v>520</v>
      </c>
      <c r="H19" t="s">
        <v>519</v>
      </c>
      <c r="I19" t="s">
        <v>520</v>
      </c>
      <c r="J19" t="s">
        <v>519</v>
      </c>
      <c r="K19">
        <v>3</v>
      </c>
      <c r="L19">
        <v>1</v>
      </c>
    </row>
    <row r="20" spans="1:12" x14ac:dyDescent="0.2">
      <c r="A20">
        <v>19</v>
      </c>
      <c r="B20" t="s">
        <v>17</v>
      </c>
      <c r="C20" t="s">
        <v>22</v>
      </c>
      <c r="D20" t="s">
        <v>53</v>
      </c>
      <c r="E20">
        <v>19240104601</v>
      </c>
      <c r="F20" t="s">
        <v>37</v>
      </c>
      <c r="G20" t="s">
        <v>519</v>
      </c>
      <c r="H20" t="s">
        <v>520</v>
      </c>
      <c r="I20" t="s">
        <v>520</v>
      </c>
      <c r="J20" t="s">
        <v>519</v>
      </c>
      <c r="K20">
        <v>4</v>
      </c>
      <c r="L20">
        <v>3</v>
      </c>
    </row>
    <row r="21" spans="1:12" x14ac:dyDescent="0.2">
      <c r="A21">
        <v>20</v>
      </c>
      <c r="B21" t="s">
        <v>17</v>
      </c>
      <c r="C21" t="s">
        <v>22</v>
      </c>
      <c r="D21" t="s">
        <v>54</v>
      </c>
      <c r="E21">
        <v>19240100502</v>
      </c>
      <c r="F21" t="s">
        <v>36</v>
      </c>
      <c r="G21" t="s">
        <v>519</v>
      </c>
      <c r="H21" t="s">
        <v>519</v>
      </c>
      <c r="I21" t="s">
        <v>520</v>
      </c>
      <c r="J21" t="s">
        <v>519</v>
      </c>
      <c r="K21">
        <v>3</v>
      </c>
      <c r="L21">
        <v>1</v>
      </c>
    </row>
    <row r="22" spans="1:12" x14ac:dyDescent="0.2">
      <c r="A22">
        <v>21</v>
      </c>
      <c r="B22" t="s">
        <v>17</v>
      </c>
      <c r="C22" t="s">
        <v>22</v>
      </c>
      <c r="D22" t="s">
        <v>55</v>
      </c>
      <c r="E22">
        <v>19240102302</v>
      </c>
      <c r="F22" t="s">
        <v>35</v>
      </c>
      <c r="G22" t="s">
        <v>519</v>
      </c>
      <c r="H22" t="s">
        <v>519</v>
      </c>
      <c r="I22" t="s">
        <v>519</v>
      </c>
      <c r="J22" t="s">
        <v>519</v>
      </c>
      <c r="K22">
        <v>5</v>
      </c>
      <c r="L22">
        <v>4</v>
      </c>
    </row>
    <row r="23" spans="1:12" x14ac:dyDescent="0.2">
      <c r="A23">
        <v>22</v>
      </c>
      <c r="B23" t="s">
        <v>17</v>
      </c>
      <c r="C23" t="s">
        <v>22</v>
      </c>
      <c r="D23" t="s">
        <v>56</v>
      </c>
      <c r="E23">
        <v>19240103302</v>
      </c>
      <c r="F23" t="s">
        <v>36</v>
      </c>
      <c r="G23" t="s">
        <v>520</v>
      </c>
      <c r="H23" t="s">
        <v>519</v>
      </c>
      <c r="I23" t="s">
        <v>520</v>
      </c>
      <c r="J23" t="s">
        <v>519</v>
      </c>
      <c r="K23">
        <v>3</v>
      </c>
      <c r="L23">
        <v>1</v>
      </c>
    </row>
    <row r="24" spans="1:12" x14ac:dyDescent="0.2">
      <c r="A24">
        <v>23</v>
      </c>
      <c r="B24" t="s">
        <v>17</v>
      </c>
      <c r="C24" t="s">
        <v>22</v>
      </c>
      <c r="D24" t="s">
        <v>57</v>
      </c>
      <c r="E24">
        <v>19240104901</v>
      </c>
      <c r="F24" t="s">
        <v>36</v>
      </c>
      <c r="G24" t="s">
        <v>520</v>
      </c>
      <c r="H24" t="s">
        <v>520</v>
      </c>
      <c r="I24" t="s">
        <v>520</v>
      </c>
      <c r="J24" t="s">
        <v>519</v>
      </c>
      <c r="K24">
        <v>3</v>
      </c>
      <c r="L24">
        <v>1</v>
      </c>
    </row>
    <row r="25" spans="1:12" x14ac:dyDescent="0.2">
      <c r="A25">
        <v>24</v>
      </c>
      <c r="B25" t="s">
        <v>17</v>
      </c>
      <c r="C25" t="s">
        <v>22</v>
      </c>
      <c r="D25" t="s">
        <v>58</v>
      </c>
      <c r="E25">
        <v>19240105102</v>
      </c>
      <c r="F25" t="s">
        <v>36</v>
      </c>
      <c r="G25" t="s">
        <v>519</v>
      </c>
      <c r="H25" t="s">
        <v>520</v>
      </c>
      <c r="I25" t="s">
        <v>520</v>
      </c>
      <c r="J25" t="s">
        <v>519</v>
      </c>
      <c r="K25">
        <v>2</v>
      </c>
      <c r="L25">
        <v>5</v>
      </c>
    </row>
    <row r="26" spans="1:12" x14ac:dyDescent="0.2">
      <c r="A26">
        <v>25</v>
      </c>
      <c r="B26" t="s">
        <v>17</v>
      </c>
      <c r="C26" t="s">
        <v>509</v>
      </c>
      <c r="D26" t="s">
        <v>59</v>
      </c>
      <c r="E26">
        <v>19240401201</v>
      </c>
      <c r="F26" t="s">
        <v>35</v>
      </c>
      <c r="G26" t="s">
        <v>519</v>
      </c>
      <c r="H26" t="s">
        <v>520</v>
      </c>
      <c r="I26" t="s">
        <v>520</v>
      </c>
      <c r="J26" t="s">
        <v>519</v>
      </c>
      <c r="K26">
        <v>2</v>
      </c>
      <c r="L26">
        <v>1</v>
      </c>
    </row>
    <row r="27" spans="1:12" x14ac:dyDescent="0.2">
      <c r="A27">
        <v>26</v>
      </c>
      <c r="B27" t="s">
        <v>17</v>
      </c>
      <c r="C27" t="s">
        <v>22</v>
      </c>
      <c r="D27" t="s">
        <v>60</v>
      </c>
      <c r="E27">
        <v>19240104201</v>
      </c>
      <c r="F27" t="s">
        <v>36</v>
      </c>
      <c r="G27" t="s">
        <v>520</v>
      </c>
      <c r="H27" t="s">
        <v>520</v>
      </c>
      <c r="I27" t="s">
        <v>520</v>
      </c>
      <c r="J27" t="s">
        <v>519</v>
      </c>
      <c r="K27">
        <v>3</v>
      </c>
      <c r="L27">
        <v>1</v>
      </c>
    </row>
    <row r="28" spans="1:12" x14ac:dyDescent="0.2">
      <c r="A28">
        <v>27</v>
      </c>
      <c r="B28" t="s">
        <v>17</v>
      </c>
      <c r="C28" t="s">
        <v>22</v>
      </c>
      <c r="D28" t="s">
        <v>61</v>
      </c>
      <c r="E28">
        <v>19240105501</v>
      </c>
      <c r="F28" t="s">
        <v>37</v>
      </c>
      <c r="G28" t="s">
        <v>519</v>
      </c>
      <c r="H28" t="s">
        <v>519</v>
      </c>
      <c r="I28" t="s">
        <v>520</v>
      </c>
      <c r="J28" t="s">
        <v>519</v>
      </c>
      <c r="K28">
        <v>1</v>
      </c>
      <c r="L28">
        <v>1</v>
      </c>
    </row>
    <row r="29" spans="1:12" x14ac:dyDescent="0.2">
      <c r="A29">
        <v>28</v>
      </c>
      <c r="B29" t="s">
        <v>17</v>
      </c>
      <c r="C29" t="s">
        <v>22</v>
      </c>
      <c r="D29" t="s">
        <v>62</v>
      </c>
      <c r="E29">
        <v>19240105401</v>
      </c>
      <c r="F29" t="s">
        <v>35</v>
      </c>
      <c r="G29" t="s">
        <v>520</v>
      </c>
      <c r="H29" t="s">
        <v>520</v>
      </c>
      <c r="I29" t="s">
        <v>520</v>
      </c>
      <c r="J29" t="s">
        <v>519</v>
      </c>
      <c r="K29">
        <v>4</v>
      </c>
      <c r="L29">
        <v>2</v>
      </c>
    </row>
    <row r="30" spans="1:12" x14ac:dyDescent="0.2">
      <c r="A30">
        <v>29</v>
      </c>
      <c r="B30" t="s">
        <v>17</v>
      </c>
      <c r="C30" t="s">
        <v>22</v>
      </c>
      <c r="D30" t="s">
        <v>63</v>
      </c>
      <c r="E30">
        <v>19240101002</v>
      </c>
      <c r="F30" t="s">
        <v>37</v>
      </c>
      <c r="G30" t="s">
        <v>519</v>
      </c>
      <c r="H30" t="s">
        <v>520</v>
      </c>
      <c r="I30" t="s">
        <v>520</v>
      </c>
      <c r="J30" t="s">
        <v>519</v>
      </c>
      <c r="K30">
        <v>4</v>
      </c>
      <c r="L30">
        <v>2</v>
      </c>
    </row>
    <row r="31" spans="1:12" x14ac:dyDescent="0.2">
      <c r="A31">
        <v>30</v>
      </c>
      <c r="B31" t="s">
        <v>17</v>
      </c>
      <c r="C31" t="s">
        <v>22</v>
      </c>
      <c r="D31" t="s">
        <v>64</v>
      </c>
      <c r="E31">
        <v>19240100702</v>
      </c>
      <c r="F31" t="s">
        <v>36</v>
      </c>
      <c r="G31" t="s">
        <v>520</v>
      </c>
      <c r="H31" t="s">
        <v>520</v>
      </c>
      <c r="I31" t="s">
        <v>520</v>
      </c>
      <c r="J31" t="s">
        <v>519</v>
      </c>
      <c r="K31">
        <v>3</v>
      </c>
      <c r="L31">
        <v>2</v>
      </c>
    </row>
    <row r="32" spans="1:12" x14ac:dyDescent="0.2">
      <c r="A32">
        <v>31</v>
      </c>
      <c r="B32" t="s">
        <v>17</v>
      </c>
      <c r="C32" t="s">
        <v>22</v>
      </c>
      <c r="D32" t="s">
        <v>65</v>
      </c>
      <c r="E32">
        <v>19240100701</v>
      </c>
      <c r="F32" t="s">
        <v>35</v>
      </c>
      <c r="G32" t="s">
        <v>519</v>
      </c>
      <c r="H32" t="s">
        <v>520</v>
      </c>
      <c r="I32" t="s">
        <v>520</v>
      </c>
      <c r="J32" t="s">
        <v>519</v>
      </c>
      <c r="K32">
        <v>1</v>
      </c>
      <c r="L32">
        <v>1</v>
      </c>
    </row>
    <row r="33" spans="1:12" x14ac:dyDescent="0.2">
      <c r="A33">
        <v>32</v>
      </c>
      <c r="B33" t="s">
        <v>17</v>
      </c>
      <c r="C33" t="s">
        <v>22</v>
      </c>
      <c r="D33" t="s">
        <v>66</v>
      </c>
      <c r="E33">
        <v>19240106101</v>
      </c>
      <c r="F33" t="s">
        <v>36</v>
      </c>
      <c r="G33" t="s">
        <v>519</v>
      </c>
      <c r="H33" t="s">
        <v>520</v>
      </c>
      <c r="I33" t="s">
        <v>520</v>
      </c>
      <c r="J33" t="s">
        <v>519</v>
      </c>
      <c r="K33">
        <v>1</v>
      </c>
      <c r="L33">
        <v>1</v>
      </c>
    </row>
    <row r="34" spans="1:12" x14ac:dyDescent="0.2">
      <c r="A34">
        <v>33</v>
      </c>
      <c r="B34" t="s">
        <v>17</v>
      </c>
      <c r="C34" t="s">
        <v>22</v>
      </c>
      <c r="D34" t="s">
        <v>67</v>
      </c>
      <c r="E34">
        <v>19240106103</v>
      </c>
      <c r="F34" t="s">
        <v>36</v>
      </c>
      <c r="G34" t="s">
        <v>519</v>
      </c>
      <c r="H34" t="s">
        <v>520</v>
      </c>
      <c r="I34" t="s">
        <v>520</v>
      </c>
      <c r="J34" t="s">
        <v>519</v>
      </c>
      <c r="K34">
        <v>1</v>
      </c>
      <c r="L34">
        <v>1</v>
      </c>
    </row>
    <row r="35" spans="1:12" x14ac:dyDescent="0.2">
      <c r="A35">
        <v>34</v>
      </c>
      <c r="B35" t="s">
        <v>17</v>
      </c>
      <c r="C35" t="s">
        <v>22</v>
      </c>
      <c r="D35" t="s">
        <v>68</v>
      </c>
      <c r="E35">
        <v>19240107402</v>
      </c>
      <c r="F35" t="s">
        <v>36</v>
      </c>
      <c r="G35" t="s">
        <v>520</v>
      </c>
      <c r="H35" t="s">
        <v>519</v>
      </c>
      <c r="I35" t="s">
        <v>520</v>
      </c>
      <c r="J35" t="s">
        <v>519</v>
      </c>
      <c r="K35">
        <v>1</v>
      </c>
      <c r="L35">
        <v>1</v>
      </c>
    </row>
    <row r="36" spans="1:12" x14ac:dyDescent="0.2">
      <c r="A36">
        <v>35</v>
      </c>
      <c r="B36" t="s">
        <v>17</v>
      </c>
      <c r="C36" t="s">
        <v>22</v>
      </c>
      <c r="D36" t="s">
        <v>69</v>
      </c>
      <c r="E36">
        <v>19240103202</v>
      </c>
      <c r="F36" t="s">
        <v>35</v>
      </c>
      <c r="G36" t="s">
        <v>519</v>
      </c>
      <c r="H36" t="s">
        <v>520</v>
      </c>
      <c r="I36" t="s">
        <v>520</v>
      </c>
      <c r="J36" t="s">
        <v>519</v>
      </c>
      <c r="K36">
        <v>3</v>
      </c>
      <c r="L36">
        <v>1</v>
      </c>
    </row>
    <row r="37" spans="1:12" x14ac:dyDescent="0.2">
      <c r="A37">
        <v>36</v>
      </c>
      <c r="B37" t="s">
        <v>17</v>
      </c>
      <c r="C37" t="s">
        <v>22</v>
      </c>
      <c r="D37" t="s">
        <v>70</v>
      </c>
      <c r="E37">
        <v>19240107502</v>
      </c>
      <c r="F37" t="s">
        <v>36</v>
      </c>
      <c r="G37" t="s">
        <v>520</v>
      </c>
      <c r="H37" t="s">
        <v>520</v>
      </c>
      <c r="I37" t="s">
        <v>520</v>
      </c>
      <c r="J37" t="s">
        <v>519</v>
      </c>
      <c r="K37">
        <v>4</v>
      </c>
      <c r="L37">
        <v>2</v>
      </c>
    </row>
    <row r="38" spans="1:12" x14ac:dyDescent="0.2">
      <c r="A38">
        <v>37</v>
      </c>
      <c r="B38" t="s">
        <v>17</v>
      </c>
      <c r="C38" t="s">
        <v>22</v>
      </c>
      <c r="D38" t="s">
        <v>71</v>
      </c>
      <c r="E38">
        <v>19240103602</v>
      </c>
      <c r="F38" t="s">
        <v>37</v>
      </c>
      <c r="G38" t="s">
        <v>520</v>
      </c>
      <c r="H38" t="s">
        <v>520</v>
      </c>
      <c r="I38" t="s">
        <v>520</v>
      </c>
      <c r="J38" t="s">
        <v>519</v>
      </c>
      <c r="K38">
        <v>3</v>
      </c>
      <c r="L38">
        <v>1</v>
      </c>
    </row>
    <row r="39" spans="1:12" x14ac:dyDescent="0.2">
      <c r="A39">
        <v>38</v>
      </c>
      <c r="B39" t="s">
        <v>17</v>
      </c>
      <c r="C39" t="s">
        <v>509</v>
      </c>
      <c r="D39" t="s">
        <v>72</v>
      </c>
      <c r="E39">
        <v>19240401006</v>
      </c>
      <c r="F39" t="s">
        <v>35</v>
      </c>
      <c r="G39" t="s">
        <v>519</v>
      </c>
      <c r="H39" t="s">
        <v>519</v>
      </c>
      <c r="I39" t="s">
        <v>520</v>
      </c>
      <c r="J39" t="s">
        <v>519</v>
      </c>
      <c r="K39">
        <v>2</v>
      </c>
      <c r="L39">
        <v>2</v>
      </c>
    </row>
    <row r="40" spans="1:12" x14ac:dyDescent="0.2">
      <c r="A40">
        <v>39</v>
      </c>
      <c r="B40" t="s">
        <v>17</v>
      </c>
      <c r="C40" t="s">
        <v>22</v>
      </c>
      <c r="D40" t="s">
        <v>73</v>
      </c>
      <c r="E40">
        <v>19240106001</v>
      </c>
      <c r="F40" t="s">
        <v>37</v>
      </c>
      <c r="G40" t="s">
        <v>519</v>
      </c>
      <c r="H40" t="s">
        <v>520</v>
      </c>
      <c r="I40" t="s">
        <v>520</v>
      </c>
      <c r="J40" t="s">
        <v>519</v>
      </c>
      <c r="K40">
        <v>3</v>
      </c>
      <c r="L40">
        <v>3</v>
      </c>
    </row>
    <row r="41" spans="1:12" x14ac:dyDescent="0.2">
      <c r="A41">
        <v>40</v>
      </c>
      <c r="B41" t="s">
        <v>17</v>
      </c>
      <c r="C41" t="s">
        <v>22</v>
      </c>
      <c r="D41" t="s">
        <v>74</v>
      </c>
      <c r="E41">
        <v>19240101201</v>
      </c>
      <c r="F41" t="s">
        <v>36</v>
      </c>
      <c r="G41" t="s">
        <v>519</v>
      </c>
      <c r="H41" t="s">
        <v>519</v>
      </c>
      <c r="I41" t="s">
        <v>520</v>
      </c>
      <c r="J41" t="s">
        <v>519</v>
      </c>
      <c r="K41">
        <v>3</v>
      </c>
      <c r="L41">
        <v>1</v>
      </c>
    </row>
    <row r="42" spans="1:12" x14ac:dyDescent="0.2">
      <c r="A42">
        <v>41</v>
      </c>
      <c r="B42" t="s">
        <v>17</v>
      </c>
      <c r="C42" t="s">
        <v>22</v>
      </c>
      <c r="D42" t="s">
        <v>75</v>
      </c>
      <c r="E42">
        <v>19240103301</v>
      </c>
      <c r="F42" t="s">
        <v>35</v>
      </c>
      <c r="G42" t="s">
        <v>519</v>
      </c>
      <c r="H42" t="s">
        <v>519</v>
      </c>
      <c r="I42" t="s">
        <v>519</v>
      </c>
      <c r="J42" t="s">
        <v>519</v>
      </c>
      <c r="K42">
        <v>3</v>
      </c>
      <c r="L42">
        <v>1</v>
      </c>
    </row>
    <row r="43" spans="1:12" x14ac:dyDescent="0.2">
      <c r="A43">
        <v>42</v>
      </c>
      <c r="B43" t="s">
        <v>17</v>
      </c>
      <c r="C43" t="s">
        <v>22</v>
      </c>
      <c r="D43" t="s">
        <v>76</v>
      </c>
      <c r="E43">
        <v>19240104101</v>
      </c>
      <c r="F43" t="s">
        <v>36</v>
      </c>
      <c r="G43" t="s">
        <v>520</v>
      </c>
      <c r="H43" t="s">
        <v>520</v>
      </c>
      <c r="I43" t="s">
        <v>520</v>
      </c>
      <c r="J43" t="s">
        <v>519</v>
      </c>
      <c r="K43">
        <v>3</v>
      </c>
      <c r="L43">
        <v>1</v>
      </c>
    </row>
    <row r="44" spans="1:12" x14ac:dyDescent="0.2">
      <c r="A44">
        <v>43</v>
      </c>
      <c r="B44" t="s">
        <v>17</v>
      </c>
      <c r="C44" t="s">
        <v>22</v>
      </c>
      <c r="D44" t="s">
        <v>77</v>
      </c>
      <c r="E44">
        <v>19240104401</v>
      </c>
      <c r="F44" t="s">
        <v>36</v>
      </c>
      <c r="G44" t="s">
        <v>520</v>
      </c>
      <c r="H44" t="s">
        <v>519</v>
      </c>
      <c r="I44" t="s">
        <v>520</v>
      </c>
      <c r="J44" t="s">
        <v>519</v>
      </c>
      <c r="K44">
        <v>1</v>
      </c>
      <c r="L44">
        <v>1</v>
      </c>
    </row>
    <row r="45" spans="1:12" x14ac:dyDescent="0.2">
      <c r="A45">
        <v>44</v>
      </c>
      <c r="B45" t="s">
        <v>17</v>
      </c>
      <c r="C45" t="s">
        <v>22</v>
      </c>
      <c r="D45" t="s">
        <v>78</v>
      </c>
      <c r="E45">
        <v>19240104801</v>
      </c>
      <c r="F45" t="s">
        <v>36</v>
      </c>
      <c r="G45" t="s">
        <v>519</v>
      </c>
      <c r="H45" t="s">
        <v>520</v>
      </c>
      <c r="I45" t="s">
        <v>520</v>
      </c>
      <c r="J45" t="s">
        <v>519</v>
      </c>
      <c r="K45">
        <v>1</v>
      </c>
      <c r="L45">
        <v>1</v>
      </c>
    </row>
    <row r="46" spans="1:12" x14ac:dyDescent="0.2">
      <c r="A46">
        <v>45</v>
      </c>
      <c r="B46" t="s">
        <v>17</v>
      </c>
      <c r="C46" t="s">
        <v>509</v>
      </c>
      <c r="D46" t="s">
        <v>79</v>
      </c>
      <c r="E46">
        <v>19240401004</v>
      </c>
      <c r="F46" t="s">
        <v>35</v>
      </c>
      <c r="G46" t="s">
        <v>520</v>
      </c>
      <c r="H46" t="s">
        <v>519</v>
      </c>
      <c r="I46" t="s">
        <v>520</v>
      </c>
      <c r="J46" t="s">
        <v>519</v>
      </c>
      <c r="K46">
        <v>1</v>
      </c>
      <c r="L46">
        <v>1</v>
      </c>
    </row>
    <row r="47" spans="1:12" x14ac:dyDescent="0.2">
      <c r="A47">
        <v>46</v>
      </c>
      <c r="B47" t="s">
        <v>17</v>
      </c>
      <c r="C47" t="s">
        <v>22</v>
      </c>
      <c r="D47" t="s">
        <v>80</v>
      </c>
      <c r="E47">
        <v>19240100801</v>
      </c>
      <c r="F47" t="s">
        <v>36</v>
      </c>
      <c r="G47" t="s">
        <v>519</v>
      </c>
      <c r="H47" t="s">
        <v>520</v>
      </c>
      <c r="I47" t="s">
        <v>520</v>
      </c>
      <c r="J47" t="s">
        <v>519</v>
      </c>
      <c r="K47">
        <v>3</v>
      </c>
      <c r="L47">
        <v>1</v>
      </c>
    </row>
    <row r="48" spans="1:12" x14ac:dyDescent="0.2">
      <c r="A48">
        <v>47</v>
      </c>
      <c r="B48" t="s">
        <v>17</v>
      </c>
      <c r="C48" t="s">
        <v>22</v>
      </c>
      <c r="D48" t="s">
        <v>81</v>
      </c>
      <c r="E48">
        <v>19240107601</v>
      </c>
      <c r="F48" t="s">
        <v>37</v>
      </c>
      <c r="G48" t="s">
        <v>519</v>
      </c>
      <c r="H48" t="s">
        <v>520</v>
      </c>
      <c r="I48" t="s">
        <v>520</v>
      </c>
      <c r="J48" t="s">
        <v>519</v>
      </c>
      <c r="K48">
        <v>1</v>
      </c>
      <c r="L48">
        <v>1</v>
      </c>
    </row>
    <row r="49" spans="1:12" x14ac:dyDescent="0.2">
      <c r="A49">
        <v>48</v>
      </c>
      <c r="B49" t="s">
        <v>17</v>
      </c>
      <c r="C49" t="s">
        <v>22</v>
      </c>
      <c r="D49" t="s">
        <v>82</v>
      </c>
      <c r="E49">
        <v>19240104701</v>
      </c>
      <c r="F49" t="s">
        <v>35</v>
      </c>
      <c r="G49" t="s">
        <v>520</v>
      </c>
      <c r="H49" t="s">
        <v>519</v>
      </c>
      <c r="I49" t="s">
        <v>520</v>
      </c>
      <c r="J49" t="s">
        <v>519</v>
      </c>
      <c r="K49">
        <v>3</v>
      </c>
      <c r="L49">
        <v>1</v>
      </c>
    </row>
    <row r="50" spans="1:12" x14ac:dyDescent="0.2">
      <c r="A50">
        <v>49</v>
      </c>
      <c r="B50" t="s">
        <v>17</v>
      </c>
      <c r="C50" t="s">
        <v>509</v>
      </c>
      <c r="D50" t="s">
        <v>83</v>
      </c>
      <c r="E50">
        <v>19240401003</v>
      </c>
      <c r="F50" t="s">
        <v>37</v>
      </c>
      <c r="G50" t="s">
        <v>519</v>
      </c>
      <c r="H50" t="s">
        <v>519</v>
      </c>
      <c r="I50" t="s">
        <v>520</v>
      </c>
      <c r="J50" t="s">
        <v>519</v>
      </c>
      <c r="K50">
        <v>1</v>
      </c>
      <c r="L50">
        <v>1</v>
      </c>
    </row>
    <row r="51" spans="1:12" x14ac:dyDescent="0.2">
      <c r="A51">
        <v>50</v>
      </c>
      <c r="B51" t="s">
        <v>17</v>
      </c>
      <c r="C51" t="s">
        <v>22</v>
      </c>
      <c r="D51" t="s">
        <v>84</v>
      </c>
      <c r="E51">
        <v>19240106902</v>
      </c>
      <c r="F51" t="s">
        <v>36</v>
      </c>
      <c r="G51" t="s">
        <v>519</v>
      </c>
      <c r="H51" t="s">
        <v>520</v>
      </c>
      <c r="I51" t="s">
        <v>520</v>
      </c>
      <c r="J51" t="s">
        <v>519</v>
      </c>
      <c r="K51">
        <v>13</v>
      </c>
      <c r="L51">
        <v>8</v>
      </c>
    </row>
    <row r="52" spans="1:12" x14ac:dyDescent="0.2">
      <c r="A52">
        <v>51</v>
      </c>
      <c r="B52" t="s">
        <v>17</v>
      </c>
      <c r="C52" t="s">
        <v>509</v>
      </c>
      <c r="D52" t="s">
        <v>85</v>
      </c>
      <c r="E52">
        <v>19240400802</v>
      </c>
      <c r="F52" t="s">
        <v>35</v>
      </c>
      <c r="G52" t="s">
        <v>520</v>
      </c>
      <c r="H52" t="s">
        <v>520</v>
      </c>
      <c r="I52" t="s">
        <v>520</v>
      </c>
      <c r="J52" t="s">
        <v>519</v>
      </c>
      <c r="K52">
        <v>23</v>
      </c>
      <c r="L52">
        <v>1</v>
      </c>
    </row>
    <row r="53" spans="1:12" x14ac:dyDescent="0.2">
      <c r="A53">
        <v>52</v>
      </c>
      <c r="B53" t="s">
        <v>17</v>
      </c>
      <c r="C53" t="s">
        <v>22</v>
      </c>
      <c r="D53" t="s">
        <v>86</v>
      </c>
      <c r="E53">
        <v>19240101601</v>
      </c>
      <c r="F53" t="s">
        <v>36</v>
      </c>
      <c r="G53" t="s">
        <v>519</v>
      </c>
      <c r="H53" t="s">
        <v>520</v>
      </c>
      <c r="I53" t="s">
        <v>520</v>
      </c>
      <c r="J53" t="s">
        <v>519</v>
      </c>
      <c r="K53">
        <v>4</v>
      </c>
      <c r="L53">
        <v>7</v>
      </c>
    </row>
    <row r="54" spans="1:12" x14ac:dyDescent="0.2">
      <c r="A54">
        <v>53</v>
      </c>
      <c r="B54" t="s">
        <v>17</v>
      </c>
      <c r="C54" t="s">
        <v>22</v>
      </c>
      <c r="D54" t="s">
        <v>87</v>
      </c>
      <c r="E54">
        <v>19240102402</v>
      </c>
      <c r="F54" t="s">
        <v>36</v>
      </c>
      <c r="G54" t="s">
        <v>520</v>
      </c>
      <c r="H54" t="s">
        <v>519</v>
      </c>
      <c r="I54" t="s">
        <v>520</v>
      </c>
      <c r="J54" t="s">
        <v>519</v>
      </c>
      <c r="K54">
        <v>1</v>
      </c>
      <c r="L54">
        <v>1</v>
      </c>
    </row>
    <row r="55" spans="1:12" x14ac:dyDescent="0.2">
      <c r="A55">
        <v>54</v>
      </c>
      <c r="B55" t="s">
        <v>17</v>
      </c>
      <c r="C55" t="s">
        <v>22</v>
      </c>
      <c r="D55" t="s">
        <v>88</v>
      </c>
      <c r="E55">
        <v>19240104502</v>
      </c>
      <c r="F55" t="s">
        <v>36</v>
      </c>
      <c r="G55" t="s">
        <v>520</v>
      </c>
      <c r="H55" t="s">
        <v>520</v>
      </c>
      <c r="I55" t="s">
        <v>520</v>
      </c>
      <c r="J55" t="s">
        <v>519</v>
      </c>
      <c r="K55">
        <v>3</v>
      </c>
      <c r="L55">
        <v>1</v>
      </c>
    </row>
    <row r="56" spans="1:12" x14ac:dyDescent="0.2">
      <c r="A56">
        <v>55</v>
      </c>
      <c r="B56" t="s">
        <v>17</v>
      </c>
      <c r="C56" t="s">
        <v>22</v>
      </c>
      <c r="D56" t="s">
        <v>89</v>
      </c>
      <c r="E56">
        <v>19240104402</v>
      </c>
      <c r="F56" t="s">
        <v>35</v>
      </c>
      <c r="G56" t="s">
        <v>520</v>
      </c>
      <c r="H56" t="s">
        <v>520</v>
      </c>
      <c r="I56" t="s">
        <v>520</v>
      </c>
      <c r="J56" t="s">
        <v>519</v>
      </c>
      <c r="K56">
        <v>3</v>
      </c>
      <c r="L56">
        <v>1</v>
      </c>
    </row>
    <row r="57" spans="1:12" x14ac:dyDescent="0.2">
      <c r="A57">
        <v>56</v>
      </c>
      <c r="B57" t="s">
        <v>17</v>
      </c>
      <c r="C57" t="s">
        <v>22</v>
      </c>
      <c r="D57" t="s">
        <v>90</v>
      </c>
      <c r="E57">
        <v>19240100102</v>
      </c>
      <c r="F57" t="s">
        <v>36</v>
      </c>
      <c r="G57" t="s">
        <v>519</v>
      </c>
      <c r="H57" t="s">
        <v>520</v>
      </c>
      <c r="I57" t="s">
        <v>520</v>
      </c>
      <c r="J57" t="s">
        <v>519</v>
      </c>
      <c r="K57">
        <v>3</v>
      </c>
      <c r="L57">
        <v>1</v>
      </c>
    </row>
    <row r="58" spans="1:12" x14ac:dyDescent="0.2">
      <c r="A58">
        <v>57</v>
      </c>
      <c r="B58" t="s">
        <v>17</v>
      </c>
      <c r="C58" t="s">
        <v>22</v>
      </c>
      <c r="D58" t="s">
        <v>91</v>
      </c>
      <c r="E58">
        <v>19240107102</v>
      </c>
      <c r="F58" t="s">
        <v>37</v>
      </c>
      <c r="G58" t="s">
        <v>519</v>
      </c>
      <c r="H58" t="s">
        <v>520</v>
      </c>
      <c r="I58" t="s">
        <v>520</v>
      </c>
      <c r="J58" t="s">
        <v>519</v>
      </c>
      <c r="K58">
        <v>2</v>
      </c>
      <c r="L58">
        <v>2</v>
      </c>
    </row>
    <row r="59" spans="1:12" x14ac:dyDescent="0.2">
      <c r="A59">
        <v>58</v>
      </c>
      <c r="B59" t="s">
        <v>17</v>
      </c>
      <c r="C59" t="s">
        <v>22</v>
      </c>
      <c r="D59" t="s">
        <v>92</v>
      </c>
      <c r="E59">
        <v>19240107201</v>
      </c>
      <c r="F59" t="s">
        <v>35</v>
      </c>
      <c r="G59" t="s">
        <v>520</v>
      </c>
      <c r="H59" t="s">
        <v>520</v>
      </c>
      <c r="I59" t="s">
        <v>520</v>
      </c>
      <c r="J59" t="s">
        <v>519</v>
      </c>
      <c r="K59">
        <v>3</v>
      </c>
      <c r="L59">
        <v>1</v>
      </c>
    </row>
    <row r="60" spans="1:12" x14ac:dyDescent="0.2">
      <c r="A60">
        <v>59</v>
      </c>
      <c r="B60" t="s">
        <v>17</v>
      </c>
      <c r="C60" t="s">
        <v>22</v>
      </c>
      <c r="D60" t="s">
        <v>93</v>
      </c>
      <c r="E60">
        <v>19240102501</v>
      </c>
      <c r="F60" t="s">
        <v>37</v>
      </c>
      <c r="G60" t="s">
        <v>520</v>
      </c>
      <c r="H60" t="s">
        <v>519</v>
      </c>
      <c r="I60" t="s">
        <v>520</v>
      </c>
      <c r="J60" t="s">
        <v>519</v>
      </c>
      <c r="K60">
        <v>3</v>
      </c>
      <c r="L60">
        <v>1</v>
      </c>
    </row>
    <row r="61" spans="1:12" x14ac:dyDescent="0.2">
      <c r="A61">
        <v>60</v>
      </c>
      <c r="B61" t="s">
        <v>17</v>
      </c>
      <c r="C61" t="s">
        <v>22</v>
      </c>
      <c r="D61" t="s">
        <v>94</v>
      </c>
      <c r="E61">
        <v>19240107101</v>
      </c>
      <c r="F61" t="s">
        <v>36</v>
      </c>
      <c r="G61" t="s">
        <v>520</v>
      </c>
      <c r="H61" t="s">
        <v>519</v>
      </c>
      <c r="I61" t="s">
        <v>520</v>
      </c>
      <c r="J61" t="s">
        <v>519</v>
      </c>
      <c r="K61">
        <v>1</v>
      </c>
      <c r="L61">
        <v>1</v>
      </c>
    </row>
    <row r="62" spans="1:12" x14ac:dyDescent="0.2">
      <c r="A62">
        <v>61</v>
      </c>
      <c r="B62" t="s">
        <v>17</v>
      </c>
      <c r="C62" t="s">
        <v>22</v>
      </c>
      <c r="D62" t="s">
        <v>95</v>
      </c>
      <c r="E62">
        <v>19240101802</v>
      </c>
      <c r="F62" t="s">
        <v>35</v>
      </c>
      <c r="G62" t="s">
        <v>520</v>
      </c>
      <c r="H62" t="s">
        <v>519</v>
      </c>
      <c r="I62" t="s">
        <v>520</v>
      </c>
      <c r="J62" t="s">
        <v>519</v>
      </c>
      <c r="K62">
        <v>2</v>
      </c>
      <c r="L62">
        <v>2</v>
      </c>
    </row>
    <row r="63" spans="1:12" x14ac:dyDescent="0.2">
      <c r="A63">
        <v>62</v>
      </c>
      <c r="B63" t="s">
        <v>17</v>
      </c>
      <c r="C63" t="s">
        <v>22</v>
      </c>
      <c r="D63" t="s">
        <v>96</v>
      </c>
      <c r="E63">
        <v>19240105001</v>
      </c>
      <c r="F63" t="s">
        <v>36</v>
      </c>
      <c r="G63" t="s">
        <v>519</v>
      </c>
      <c r="H63" t="s">
        <v>520</v>
      </c>
      <c r="I63" t="s">
        <v>519</v>
      </c>
      <c r="J63" t="s">
        <v>519</v>
      </c>
      <c r="K63">
        <v>1</v>
      </c>
      <c r="L63">
        <v>1</v>
      </c>
    </row>
    <row r="64" spans="1:12" x14ac:dyDescent="0.2">
      <c r="A64">
        <v>63</v>
      </c>
      <c r="B64" t="s">
        <v>17</v>
      </c>
      <c r="C64" t="s">
        <v>22</v>
      </c>
      <c r="D64" t="s">
        <v>97</v>
      </c>
      <c r="E64">
        <v>19240107301</v>
      </c>
      <c r="F64" t="s">
        <v>36</v>
      </c>
      <c r="G64" t="s">
        <v>519</v>
      </c>
      <c r="H64" t="s">
        <v>520</v>
      </c>
      <c r="I64" t="s">
        <v>520</v>
      </c>
      <c r="J64" t="s">
        <v>519</v>
      </c>
      <c r="K64">
        <v>1</v>
      </c>
      <c r="L64">
        <v>1</v>
      </c>
    </row>
    <row r="65" spans="1:12" x14ac:dyDescent="0.2">
      <c r="A65">
        <v>64</v>
      </c>
      <c r="B65" t="s">
        <v>17</v>
      </c>
      <c r="C65" t="s">
        <v>509</v>
      </c>
      <c r="D65" t="s">
        <v>98</v>
      </c>
      <c r="E65">
        <v>19240400401</v>
      </c>
      <c r="F65" t="s">
        <v>36</v>
      </c>
      <c r="G65" t="s">
        <v>520</v>
      </c>
      <c r="H65" t="s">
        <v>519</v>
      </c>
      <c r="I65" t="s">
        <v>520</v>
      </c>
      <c r="J65" t="s">
        <v>519</v>
      </c>
      <c r="K65">
        <v>1</v>
      </c>
      <c r="L65">
        <v>1</v>
      </c>
    </row>
    <row r="66" spans="1:12" x14ac:dyDescent="0.2">
      <c r="A66">
        <v>65</v>
      </c>
      <c r="B66" t="s">
        <v>17</v>
      </c>
      <c r="C66" t="s">
        <v>22</v>
      </c>
      <c r="D66" t="s">
        <v>99</v>
      </c>
      <c r="E66">
        <v>19240105101</v>
      </c>
      <c r="F66" t="s">
        <v>35</v>
      </c>
      <c r="G66" t="s">
        <v>520</v>
      </c>
      <c r="H66" t="s">
        <v>519</v>
      </c>
      <c r="I66" t="s">
        <v>520</v>
      </c>
      <c r="J66" t="s">
        <v>519</v>
      </c>
      <c r="K66">
        <v>3</v>
      </c>
      <c r="L66">
        <v>2</v>
      </c>
    </row>
    <row r="67" spans="1:12" x14ac:dyDescent="0.2">
      <c r="A67">
        <v>66</v>
      </c>
      <c r="B67" t="s">
        <v>17</v>
      </c>
      <c r="C67" t="s">
        <v>22</v>
      </c>
      <c r="D67" t="s">
        <v>100</v>
      </c>
      <c r="E67">
        <v>19240107001</v>
      </c>
      <c r="F67" t="s">
        <v>36</v>
      </c>
      <c r="G67" t="s">
        <v>520</v>
      </c>
      <c r="H67" t="s">
        <v>519</v>
      </c>
      <c r="I67" t="s">
        <v>520</v>
      </c>
      <c r="J67" t="s">
        <v>519</v>
      </c>
      <c r="K67">
        <v>1</v>
      </c>
      <c r="L67">
        <v>1</v>
      </c>
    </row>
    <row r="68" spans="1:12" x14ac:dyDescent="0.2">
      <c r="A68">
        <v>67</v>
      </c>
      <c r="B68" t="s">
        <v>17</v>
      </c>
      <c r="C68" t="s">
        <v>22</v>
      </c>
      <c r="D68" t="s">
        <v>101</v>
      </c>
      <c r="E68">
        <v>19240107202</v>
      </c>
      <c r="F68" t="s">
        <v>37</v>
      </c>
      <c r="G68" t="s">
        <v>519</v>
      </c>
      <c r="H68" t="s">
        <v>519</v>
      </c>
      <c r="I68" t="s">
        <v>519</v>
      </c>
      <c r="J68" t="s">
        <v>519</v>
      </c>
      <c r="K68">
        <v>1</v>
      </c>
      <c r="L68">
        <v>1</v>
      </c>
    </row>
    <row r="69" spans="1:12" x14ac:dyDescent="0.2">
      <c r="A69">
        <v>68</v>
      </c>
      <c r="B69" t="s">
        <v>17</v>
      </c>
      <c r="C69" t="s">
        <v>22</v>
      </c>
      <c r="D69" t="s">
        <v>102</v>
      </c>
      <c r="E69">
        <v>19240101901</v>
      </c>
      <c r="F69" t="s">
        <v>35</v>
      </c>
      <c r="G69" t="s">
        <v>520</v>
      </c>
      <c r="H69" t="s">
        <v>519</v>
      </c>
      <c r="I69" t="s">
        <v>520</v>
      </c>
      <c r="J69" t="s">
        <v>519</v>
      </c>
      <c r="K69">
        <v>1</v>
      </c>
      <c r="L69">
        <v>1</v>
      </c>
    </row>
    <row r="70" spans="1:12" x14ac:dyDescent="0.2">
      <c r="A70">
        <v>69</v>
      </c>
      <c r="B70" t="s">
        <v>17</v>
      </c>
      <c r="C70" t="s">
        <v>22</v>
      </c>
      <c r="D70" t="s">
        <v>103</v>
      </c>
      <c r="E70">
        <v>19240102101</v>
      </c>
      <c r="F70" t="s">
        <v>37</v>
      </c>
      <c r="G70" t="s">
        <v>519</v>
      </c>
      <c r="H70" t="s">
        <v>519</v>
      </c>
      <c r="I70" t="s">
        <v>520</v>
      </c>
      <c r="J70" t="s">
        <v>519</v>
      </c>
      <c r="K70">
        <v>3</v>
      </c>
      <c r="L70">
        <v>1</v>
      </c>
    </row>
    <row r="71" spans="1:12" x14ac:dyDescent="0.2">
      <c r="A71">
        <v>70</v>
      </c>
      <c r="B71" t="s">
        <v>17</v>
      </c>
      <c r="C71" t="s">
        <v>22</v>
      </c>
      <c r="D71" t="s">
        <v>104</v>
      </c>
      <c r="E71">
        <v>19240101003</v>
      </c>
      <c r="F71" t="s">
        <v>36</v>
      </c>
      <c r="G71" t="s">
        <v>519</v>
      </c>
      <c r="H71" t="s">
        <v>520</v>
      </c>
      <c r="I71" t="s">
        <v>520</v>
      </c>
      <c r="J71" t="s">
        <v>519</v>
      </c>
      <c r="K71">
        <v>3</v>
      </c>
      <c r="L71">
        <v>1</v>
      </c>
    </row>
    <row r="72" spans="1:12" x14ac:dyDescent="0.2">
      <c r="A72">
        <v>71</v>
      </c>
      <c r="B72" t="s">
        <v>17</v>
      </c>
      <c r="C72" t="s">
        <v>22</v>
      </c>
      <c r="D72" t="s">
        <v>105</v>
      </c>
      <c r="E72">
        <v>19240103702</v>
      </c>
      <c r="F72" t="s">
        <v>35</v>
      </c>
      <c r="G72" t="s">
        <v>519</v>
      </c>
      <c r="H72" t="s">
        <v>519</v>
      </c>
      <c r="I72" t="s">
        <v>520</v>
      </c>
      <c r="J72" t="s">
        <v>519</v>
      </c>
      <c r="K72">
        <v>1</v>
      </c>
      <c r="L72">
        <v>1</v>
      </c>
    </row>
    <row r="73" spans="1:12" x14ac:dyDescent="0.2">
      <c r="A73">
        <v>72</v>
      </c>
      <c r="B73" t="s">
        <v>17</v>
      </c>
      <c r="C73" t="s">
        <v>22</v>
      </c>
      <c r="D73" t="s">
        <v>106</v>
      </c>
      <c r="E73">
        <v>19240106203</v>
      </c>
      <c r="F73" t="s">
        <v>36</v>
      </c>
      <c r="G73" t="s">
        <v>519</v>
      </c>
      <c r="H73" t="s">
        <v>520</v>
      </c>
      <c r="I73" t="s">
        <v>519</v>
      </c>
      <c r="J73" t="s">
        <v>519</v>
      </c>
      <c r="K73">
        <v>1</v>
      </c>
      <c r="L73">
        <v>2</v>
      </c>
    </row>
    <row r="74" spans="1:12" x14ac:dyDescent="0.2">
      <c r="A74">
        <v>73</v>
      </c>
      <c r="B74" t="s">
        <v>17</v>
      </c>
      <c r="C74" t="s">
        <v>22</v>
      </c>
      <c r="D74" t="s">
        <v>107</v>
      </c>
      <c r="E74">
        <v>19240106501</v>
      </c>
      <c r="F74" t="s">
        <v>36</v>
      </c>
      <c r="G74" t="s">
        <v>519</v>
      </c>
      <c r="H74" t="s">
        <v>519</v>
      </c>
      <c r="I74" t="s">
        <v>520</v>
      </c>
      <c r="J74" t="s">
        <v>519</v>
      </c>
      <c r="K74">
        <v>1</v>
      </c>
      <c r="L74">
        <v>1</v>
      </c>
    </row>
    <row r="75" spans="1:12" x14ac:dyDescent="0.2">
      <c r="A75">
        <v>74</v>
      </c>
      <c r="B75" t="s">
        <v>17</v>
      </c>
      <c r="C75" t="s">
        <v>22</v>
      </c>
      <c r="D75" t="s">
        <v>108</v>
      </c>
      <c r="E75">
        <v>19240100301</v>
      </c>
      <c r="F75" t="s">
        <v>36</v>
      </c>
      <c r="G75" t="s">
        <v>519</v>
      </c>
      <c r="H75" t="s">
        <v>520</v>
      </c>
      <c r="I75" t="s">
        <v>519</v>
      </c>
      <c r="J75" t="s">
        <v>519</v>
      </c>
      <c r="K75">
        <v>2</v>
      </c>
      <c r="L75">
        <v>2</v>
      </c>
    </row>
    <row r="76" spans="1:12" x14ac:dyDescent="0.2">
      <c r="A76">
        <v>75</v>
      </c>
      <c r="B76" t="s">
        <v>17</v>
      </c>
      <c r="C76" t="s">
        <v>22</v>
      </c>
      <c r="D76" t="s">
        <v>109</v>
      </c>
      <c r="E76">
        <v>19240104202</v>
      </c>
      <c r="F76" t="s">
        <v>35</v>
      </c>
      <c r="G76" t="s">
        <v>520</v>
      </c>
      <c r="H76" t="s">
        <v>519</v>
      </c>
      <c r="I76" t="s">
        <v>519</v>
      </c>
      <c r="J76" t="s">
        <v>519</v>
      </c>
      <c r="K76">
        <v>3</v>
      </c>
      <c r="L76">
        <v>1</v>
      </c>
    </row>
    <row r="77" spans="1:12" x14ac:dyDescent="0.2">
      <c r="A77">
        <v>76</v>
      </c>
      <c r="B77" t="s">
        <v>17</v>
      </c>
      <c r="C77" t="s">
        <v>22</v>
      </c>
      <c r="D77" t="s">
        <v>110</v>
      </c>
      <c r="E77">
        <v>19240104604</v>
      </c>
      <c r="F77" t="s">
        <v>36</v>
      </c>
      <c r="G77" t="s">
        <v>519</v>
      </c>
      <c r="H77" t="s">
        <v>520</v>
      </c>
      <c r="I77" t="s">
        <v>520</v>
      </c>
      <c r="J77" t="s">
        <v>519</v>
      </c>
      <c r="K77">
        <v>1</v>
      </c>
      <c r="L77">
        <v>1</v>
      </c>
    </row>
    <row r="78" spans="1:12" x14ac:dyDescent="0.2">
      <c r="A78">
        <v>77</v>
      </c>
      <c r="B78" t="s">
        <v>17</v>
      </c>
      <c r="C78" t="s">
        <v>22</v>
      </c>
      <c r="D78" t="s">
        <v>111</v>
      </c>
      <c r="E78">
        <v>19240107501</v>
      </c>
      <c r="F78" t="s">
        <v>37</v>
      </c>
      <c r="G78" t="s">
        <v>520</v>
      </c>
      <c r="H78" t="s">
        <v>520</v>
      </c>
      <c r="I78" t="s">
        <v>520</v>
      </c>
      <c r="J78" t="s">
        <v>519</v>
      </c>
      <c r="K78">
        <v>1</v>
      </c>
      <c r="L78">
        <v>1</v>
      </c>
    </row>
    <row r="79" spans="1:12" x14ac:dyDescent="0.2">
      <c r="A79">
        <v>78</v>
      </c>
      <c r="B79" t="s">
        <v>17</v>
      </c>
      <c r="C79" t="s">
        <v>22</v>
      </c>
      <c r="D79" t="s">
        <v>112</v>
      </c>
      <c r="E79">
        <v>19240103101</v>
      </c>
      <c r="F79" t="s">
        <v>35</v>
      </c>
      <c r="G79" t="s">
        <v>519</v>
      </c>
      <c r="H79" t="s">
        <v>519</v>
      </c>
      <c r="I79" t="s">
        <v>520</v>
      </c>
      <c r="J79" t="s">
        <v>519</v>
      </c>
      <c r="K79">
        <v>2</v>
      </c>
      <c r="L79">
        <v>1</v>
      </c>
    </row>
    <row r="80" spans="1:12" x14ac:dyDescent="0.2">
      <c r="A80">
        <v>79</v>
      </c>
      <c r="B80" t="s">
        <v>17</v>
      </c>
      <c r="C80" t="s">
        <v>22</v>
      </c>
      <c r="D80" t="s">
        <v>113</v>
      </c>
      <c r="E80">
        <v>19240104603</v>
      </c>
      <c r="F80" t="s">
        <v>37</v>
      </c>
      <c r="G80" t="s">
        <v>519</v>
      </c>
      <c r="H80" t="s">
        <v>520</v>
      </c>
      <c r="I80" t="s">
        <v>520</v>
      </c>
      <c r="J80" t="s">
        <v>519</v>
      </c>
      <c r="K80">
        <v>0</v>
      </c>
      <c r="L80">
        <v>2</v>
      </c>
    </row>
    <row r="81" spans="1:12" x14ac:dyDescent="0.2">
      <c r="A81">
        <v>80</v>
      </c>
      <c r="B81" t="s">
        <v>17</v>
      </c>
      <c r="C81" t="s">
        <v>22</v>
      </c>
      <c r="D81" t="s">
        <v>114</v>
      </c>
      <c r="E81">
        <v>19240103601</v>
      </c>
      <c r="F81" t="s">
        <v>36</v>
      </c>
      <c r="G81" t="s">
        <v>519</v>
      </c>
      <c r="H81" t="s">
        <v>520</v>
      </c>
      <c r="I81" t="s">
        <v>520</v>
      </c>
      <c r="J81" t="s">
        <v>519</v>
      </c>
      <c r="K81">
        <v>4</v>
      </c>
      <c r="L81">
        <v>3</v>
      </c>
    </row>
    <row r="82" spans="1:12" x14ac:dyDescent="0.2">
      <c r="A82">
        <v>81</v>
      </c>
      <c r="B82" t="s">
        <v>17</v>
      </c>
      <c r="C82" t="s">
        <v>22</v>
      </c>
      <c r="D82" t="s">
        <v>115</v>
      </c>
      <c r="E82">
        <v>19240106602</v>
      </c>
      <c r="F82" t="s">
        <v>35</v>
      </c>
      <c r="G82" t="s">
        <v>520</v>
      </c>
      <c r="H82" t="s">
        <v>519</v>
      </c>
      <c r="I82" t="s">
        <v>520</v>
      </c>
      <c r="J82" t="s">
        <v>519</v>
      </c>
      <c r="K82">
        <v>1</v>
      </c>
      <c r="L82">
        <v>1</v>
      </c>
    </row>
    <row r="83" spans="1:12" x14ac:dyDescent="0.2">
      <c r="A83">
        <v>82</v>
      </c>
      <c r="B83" t="s">
        <v>17</v>
      </c>
      <c r="C83" t="s">
        <v>22</v>
      </c>
      <c r="D83" t="s">
        <v>116</v>
      </c>
      <c r="E83">
        <v>19240100601</v>
      </c>
      <c r="F83" t="s">
        <v>36</v>
      </c>
      <c r="G83" t="s">
        <v>519</v>
      </c>
      <c r="H83" t="s">
        <v>519</v>
      </c>
      <c r="I83" t="s">
        <v>520</v>
      </c>
      <c r="J83" t="s">
        <v>519</v>
      </c>
      <c r="K83">
        <v>3</v>
      </c>
      <c r="L83">
        <v>1</v>
      </c>
    </row>
    <row r="84" spans="1:12" x14ac:dyDescent="0.2">
      <c r="A84">
        <v>83</v>
      </c>
      <c r="B84" t="s">
        <v>17</v>
      </c>
      <c r="C84" t="s">
        <v>22</v>
      </c>
      <c r="D84" t="s">
        <v>117</v>
      </c>
      <c r="E84">
        <v>19240103001</v>
      </c>
      <c r="F84" t="s">
        <v>36</v>
      </c>
      <c r="G84" t="s">
        <v>519</v>
      </c>
      <c r="H84" t="s">
        <v>520</v>
      </c>
      <c r="I84" t="s">
        <v>520</v>
      </c>
      <c r="J84" t="s">
        <v>519</v>
      </c>
      <c r="K84">
        <v>1</v>
      </c>
      <c r="L84">
        <v>1</v>
      </c>
    </row>
    <row r="85" spans="1:12" x14ac:dyDescent="0.2">
      <c r="A85">
        <v>84</v>
      </c>
      <c r="B85" t="s">
        <v>17</v>
      </c>
      <c r="C85" t="s">
        <v>22</v>
      </c>
      <c r="D85" t="s">
        <v>118</v>
      </c>
      <c r="E85">
        <v>19240103501</v>
      </c>
      <c r="F85" t="s">
        <v>36</v>
      </c>
      <c r="G85" t="s">
        <v>519</v>
      </c>
      <c r="H85" t="s">
        <v>519</v>
      </c>
      <c r="I85" t="s">
        <v>520</v>
      </c>
      <c r="J85" t="s">
        <v>519</v>
      </c>
      <c r="K85">
        <v>1</v>
      </c>
      <c r="L85">
        <v>1</v>
      </c>
    </row>
    <row r="86" spans="1:12" x14ac:dyDescent="0.2">
      <c r="A86">
        <v>85</v>
      </c>
      <c r="B86" t="s">
        <v>17</v>
      </c>
      <c r="C86" t="s">
        <v>22</v>
      </c>
      <c r="D86" t="s">
        <v>119</v>
      </c>
      <c r="E86">
        <v>19240103401</v>
      </c>
      <c r="F86" t="s">
        <v>35</v>
      </c>
      <c r="G86" t="s">
        <v>519</v>
      </c>
      <c r="H86" t="s">
        <v>520</v>
      </c>
      <c r="I86" t="s">
        <v>520</v>
      </c>
      <c r="J86" t="s">
        <v>519</v>
      </c>
      <c r="K86">
        <v>1</v>
      </c>
      <c r="L86">
        <v>1</v>
      </c>
    </row>
    <row r="87" spans="1:12" x14ac:dyDescent="0.2">
      <c r="A87">
        <v>86</v>
      </c>
      <c r="B87" t="s">
        <v>17</v>
      </c>
      <c r="C87" t="s">
        <v>22</v>
      </c>
      <c r="D87" t="s">
        <v>120</v>
      </c>
      <c r="E87">
        <v>19240101603</v>
      </c>
      <c r="F87" t="s">
        <v>36</v>
      </c>
      <c r="G87" t="s">
        <v>520</v>
      </c>
      <c r="H87" t="s">
        <v>520</v>
      </c>
      <c r="I87" t="s">
        <v>520</v>
      </c>
      <c r="J87" t="s">
        <v>519</v>
      </c>
      <c r="K87">
        <v>1</v>
      </c>
      <c r="L87">
        <v>1</v>
      </c>
    </row>
    <row r="88" spans="1:12" x14ac:dyDescent="0.2">
      <c r="A88">
        <v>87</v>
      </c>
      <c r="B88" t="s">
        <v>17</v>
      </c>
      <c r="C88" t="s">
        <v>22</v>
      </c>
      <c r="D88" t="s">
        <v>121</v>
      </c>
      <c r="E88">
        <v>19240101701</v>
      </c>
      <c r="F88" t="s">
        <v>37</v>
      </c>
      <c r="G88" t="s">
        <v>519</v>
      </c>
      <c r="H88" t="s">
        <v>520</v>
      </c>
      <c r="I88" t="s">
        <v>520</v>
      </c>
      <c r="J88" t="s">
        <v>519</v>
      </c>
      <c r="K88">
        <v>1</v>
      </c>
      <c r="L88">
        <v>1</v>
      </c>
    </row>
    <row r="89" spans="1:12" x14ac:dyDescent="0.2">
      <c r="A89">
        <v>88</v>
      </c>
      <c r="B89" t="s">
        <v>17</v>
      </c>
      <c r="C89" t="s">
        <v>22</v>
      </c>
      <c r="D89" t="s">
        <v>122</v>
      </c>
      <c r="E89">
        <v>19240104503</v>
      </c>
      <c r="F89" t="s">
        <v>35</v>
      </c>
      <c r="G89" t="s">
        <v>519</v>
      </c>
      <c r="H89" t="s">
        <v>519</v>
      </c>
      <c r="I89" t="s">
        <v>520</v>
      </c>
      <c r="J89" t="s">
        <v>519</v>
      </c>
      <c r="K89">
        <v>1</v>
      </c>
      <c r="L89">
        <v>1</v>
      </c>
    </row>
    <row r="90" spans="1:12" x14ac:dyDescent="0.2">
      <c r="A90">
        <v>89</v>
      </c>
      <c r="B90" t="s">
        <v>17</v>
      </c>
      <c r="C90" t="s">
        <v>22</v>
      </c>
      <c r="D90" t="s">
        <v>123</v>
      </c>
      <c r="E90">
        <v>19240100401</v>
      </c>
      <c r="F90" t="s">
        <v>37</v>
      </c>
      <c r="G90" t="s">
        <v>519</v>
      </c>
      <c r="H90" t="s">
        <v>519</v>
      </c>
      <c r="I90" t="s">
        <v>519</v>
      </c>
      <c r="J90" t="s">
        <v>519</v>
      </c>
      <c r="K90">
        <v>1</v>
      </c>
      <c r="L90">
        <v>1</v>
      </c>
    </row>
    <row r="91" spans="1:12" x14ac:dyDescent="0.2">
      <c r="A91">
        <v>90</v>
      </c>
      <c r="B91" t="s">
        <v>17</v>
      </c>
      <c r="C91" t="s">
        <v>22</v>
      </c>
      <c r="D91" t="s">
        <v>124</v>
      </c>
      <c r="E91">
        <v>19240100501</v>
      </c>
      <c r="F91" t="s">
        <v>36</v>
      </c>
      <c r="G91" t="s">
        <v>519</v>
      </c>
      <c r="H91" t="s">
        <v>520</v>
      </c>
      <c r="I91" t="s">
        <v>520</v>
      </c>
      <c r="J91" t="s">
        <v>519</v>
      </c>
      <c r="K91">
        <v>3</v>
      </c>
      <c r="L91">
        <v>1</v>
      </c>
    </row>
    <row r="92" spans="1:12" x14ac:dyDescent="0.2">
      <c r="A92">
        <v>91</v>
      </c>
      <c r="B92" t="s">
        <v>17</v>
      </c>
      <c r="C92" t="s">
        <v>22</v>
      </c>
      <c r="D92" t="s">
        <v>125</v>
      </c>
      <c r="E92">
        <v>19240101801</v>
      </c>
      <c r="F92" t="s">
        <v>35</v>
      </c>
      <c r="G92" t="s">
        <v>519</v>
      </c>
      <c r="H92" t="s">
        <v>520</v>
      </c>
      <c r="I92" t="s">
        <v>520</v>
      </c>
      <c r="J92" t="s">
        <v>519</v>
      </c>
      <c r="K92">
        <v>2</v>
      </c>
      <c r="L92">
        <v>2</v>
      </c>
    </row>
    <row r="93" spans="1:12" x14ac:dyDescent="0.2">
      <c r="A93">
        <v>92</v>
      </c>
      <c r="B93" t="s">
        <v>17</v>
      </c>
      <c r="C93" t="s">
        <v>22</v>
      </c>
      <c r="D93" t="s">
        <v>126</v>
      </c>
      <c r="E93">
        <v>19240102502</v>
      </c>
      <c r="F93" t="s">
        <v>36</v>
      </c>
      <c r="G93" t="s">
        <v>519</v>
      </c>
      <c r="H93" t="s">
        <v>519</v>
      </c>
      <c r="I93" t="s">
        <v>520</v>
      </c>
      <c r="J93" t="s">
        <v>519</v>
      </c>
      <c r="K93">
        <v>1</v>
      </c>
      <c r="L93">
        <v>1</v>
      </c>
    </row>
    <row r="94" spans="1:12" x14ac:dyDescent="0.2">
      <c r="A94">
        <v>93</v>
      </c>
      <c r="B94" t="s">
        <v>17</v>
      </c>
      <c r="C94" t="s">
        <v>22</v>
      </c>
      <c r="D94" t="s">
        <v>127</v>
      </c>
      <c r="E94">
        <v>19240102901</v>
      </c>
      <c r="F94" t="s">
        <v>36</v>
      </c>
      <c r="G94" t="s">
        <v>519</v>
      </c>
      <c r="H94" t="s">
        <v>519</v>
      </c>
      <c r="I94" t="s">
        <v>519</v>
      </c>
      <c r="J94" t="s">
        <v>519</v>
      </c>
      <c r="K94">
        <v>1</v>
      </c>
      <c r="L94">
        <v>1</v>
      </c>
    </row>
    <row r="95" spans="1:12" x14ac:dyDescent="0.2">
      <c r="A95">
        <v>94</v>
      </c>
      <c r="B95" t="s">
        <v>17</v>
      </c>
      <c r="C95" t="s">
        <v>22</v>
      </c>
      <c r="D95" t="s">
        <v>128</v>
      </c>
      <c r="E95">
        <v>19240103603</v>
      </c>
      <c r="F95" t="s">
        <v>36</v>
      </c>
      <c r="G95" t="s">
        <v>519</v>
      </c>
      <c r="H95" t="s">
        <v>520</v>
      </c>
      <c r="I95" t="s">
        <v>519</v>
      </c>
      <c r="J95" t="s">
        <v>519</v>
      </c>
      <c r="K95">
        <v>16</v>
      </c>
      <c r="L95">
        <v>2</v>
      </c>
    </row>
    <row r="96" spans="1:12" x14ac:dyDescent="0.2">
      <c r="A96">
        <v>95</v>
      </c>
      <c r="B96" t="s">
        <v>17</v>
      </c>
      <c r="C96" t="s">
        <v>22</v>
      </c>
      <c r="D96" t="s">
        <v>129</v>
      </c>
      <c r="E96">
        <v>19240102202</v>
      </c>
      <c r="F96" t="s">
        <v>35</v>
      </c>
      <c r="G96" t="s">
        <v>519</v>
      </c>
      <c r="H96" t="s">
        <v>520</v>
      </c>
      <c r="I96" t="s">
        <v>520</v>
      </c>
      <c r="J96" t="s">
        <v>519</v>
      </c>
      <c r="K96">
        <v>1</v>
      </c>
      <c r="L96">
        <v>1</v>
      </c>
    </row>
    <row r="97" spans="1:12" x14ac:dyDescent="0.2">
      <c r="A97">
        <v>96</v>
      </c>
      <c r="B97" t="s">
        <v>17</v>
      </c>
      <c r="C97" t="s">
        <v>22</v>
      </c>
      <c r="D97" t="s">
        <v>130</v>
      </c>
      <c r="E97">
        <v>19240101803</v>
      </c>
      <c r="F97" t="s">
        <v>36</v>
      </c>
      <c r="G97" t="s">
        <v>519</v>
      </c>
      <c r="H97" t="s">
        <v>520</v>
      </c>
      <c r="I97" t="s">
        <v>520</v>
      </c>
      <c r="J97" t="s">
        <v>519</v>
      </c>
      <c r="K97">
        <v>3</v>
      </c>
      <c r="L97">
        <v>2</v>
      </c>
    </row>
    <row r="98" spans="1:12" x14ac:dyDescent="0.2">
      <c r="A98">
        <v>97</v>
      </c>
      <c r="B98" t="s">
        <v>17</v>
      </c>
      <c r="C98" t="s">
        <v>22</v>
      </c>
      <c r="D98" t="s">
        <v>131</v>
      </c>
      <c r="E98">
        <v>19240106702</v>
      </c>
      <c r="F98" t="s">
        <v>37</v>
      </c>
      <c r="G98" t="s">
        <v>520</v>
      </c>
      <c r="H98" t="s">
        <v>520</v>
      </c>
      <c r="I98" t="s">
        <v>520</v>
      </c>
      <c r="J98" t="s">
        <v>519</v>
      </c>
      <c r="K98">
        <v>2</v>
      </c>
      <c r="L98">
        <v>2</v>
      </c>
    </row>
    <row r="99" spans="1:12" x14ac:dyDescent="0.2">
      <c r="A99">
        <v>98</v>
      </c>
      <c r="B99" t="s">
        <v>17</v>
      </c>
      <c r="C99" t="s">
        <v>22</v>
      </c>
      <c r="D99" t="s">
        <v>132</v>
      </c>
      <c r="E99">
        <v>19240106901</v>
      </c>
      <c r="F99" t="s">
        <v>35</v>
      </c>
      <c r="G99" t="s">
        <v>520</v>
      </c>
      <c r="H99" t="s">
        <v>520</v>
      </c>
      <c r="I99" t="s">
        <v>520</v>
      </c>
      <c r="J99" t="s">
        <v>519</v>
      </c>
      <c r="K99">
        <v>2</v>
      </c>
      <c r="L99">
        <v>2</v>
      </c>
    </row>
    <row r="100" spans="1:12" x14ac:dyDescent="0.2">
      <c r="A100">
        <v>99</v>
      </c>
      <c r="B100" t="s">
        <v>17</v>
      </c>
      <c r="C100" t="s">
        <v>22</v>
      </c>
      <c r="D100" t="s">
        <v>133</v>
      </c>
      <c r="E100">
        <v>19240103201</v>
      </c>
      <c r="F100" t="s">
        <v>37</v>
      </c>
      <c r="G100" t="s">
        <v>519</v>
      </c>
      <c r="H100" t="s">
        <v>519</v>
      </c>
      <c r="I100" t="s">
        <v>520</v>
      </c>
      <c r="J100" t="s">
        <v>519</v>
      </c>
      <c r="K100">
        <v>1</v>
      </c>
      <c r="L100">
        <v>1</v>
      </c>
    </row>
    <row r="101" spans="1:12" x14ac:dyDescent="0.2">
      <c r="A101">
        <v>100</v>
      </c>
      <c r="B101" t="s">
        <v>17</v>
      </c>
      <c r="C101" t="s">
        <v>22</v>
      </c>
      <c r="D101" t="s">
        <v>134</v>
      </c>
      <c r="E101">
        <v>19240102203</v>
      </c>
      <c r="F101" t="s">
        <v>36</v>
      </c>
      <c r="G101" t="s">
        <v>520</v>
      </c>
      <c r="H101" t="s">
        <v>519</v>
      </c>
      <c r="I101" t="s">
        <v>520</v>
      </c>
      <c r="J101" t="s">
        <v>519</v>
      </c>
      <c r="K101">
        <v>1</v>
      </c>
      <c r="L101">
        <v>1</v>
      </c>
    </row>
    <row r="102" spans="1:12" x14ac:dyDescent="0.2">
      <c r="A102">
        <v>101</v>
      </c>
      <c r="B102" t="s">
        <v>17</v>
      </c>
      <c r="C102" t="s">
        <v>22</v>
      </c>
      <c r="D102" t="s">
        <v>135</v>
      </c>
      <c r="E102">
        <v>19240102201</v>
      </c>
      <c r="F102" t="s">
        <v>35</v>
      </c>
      <c r="G102" t="s">
        <v>520</v>
      </c>
      <c r="H102" t="s">
        <v>520</v>
      </c>
      <c r="I102" t="s">
        <v>520</v>
      </c>
      <c r="J102" t="s">
        <v>519</v>
      </c>
      <c r="K102">
        <v>13</v>
      </c>
      <c r="L102">
        <v>2</v>
      </c>
    </row>
    <row r="103" spans="1:12" x14ac:dyDescent="0.2">
      <c r="A103">
        <v>102</v>
      </c>
      <c r="B103" t="s">
        <v>17</v>
      </c>
      <c r="C103" t="s">
        <v>509</v>
      </c>
      <c r="D103" t="s">
        <v>136</v>
      </c>
      <c r="E103">
        <v>19240400202</v>
      </c>
      <c r="F103" t="s">
        <v>36</v>
      </c>
      <c r="G103" t="s">
        <v>519</v>
      </c>
      <c r="H103" t="s">
        <v>520</v>
      </c>
      <c r="I103" t="s">
        <v>520</v>
      </c>
      <c r="J103" t="s">
        <v>519</v>
      </c>
      <c r="K103">
        <v>1</v>
      </c>
      <c r="L103">
        <v>1</v>
      </c>
    </row>
    <row r="104" spans="1:12" x14ac:dyDescent="0.2">
      <c r="A104">
        <v>103</v>
      </c>
      <c r="B104" t="s">
        <v>17</v>
      </c>
      <c r="C104" t="s">
        <v>22</v>
      </c>
      <c r="D104" t="s">
        <v>137</v>
      </c>
      <c r="E104">
        <v>19240103703</v>
      </c>
      <c r="F104" t="s">
        <v>36</v>
      </c>
      <c r="G104" t="s">
        <v>519</v>
      </c>
      <c r="H104" t="s">
        <v>520</v>
      </c>
      <c r="I104" t="s">
        <v>520</v>
      </c>
      <c r="J104" t="s">
        <v>519</v>
      </c>
      <c r="K104">
        <v>1</v>
      </c>
      <c r="L104">
        <v>1</v>
      </c>
    </row>
    <row r="105" spans="1:12" x14ac:dyDescent="0.2">
      <c r="A105">
        <v>104</v>
      </c>
      <c r="B105" t="s">
        <v>17</v>
      </c>
      <c r="C105" t="s">
        <v>22</v>
      </c>
      <c r="D105" t="s">
        <v>138</v>
      </c>
      <c r="E105">
        <v>19240103701</v>
      </c>
      <c r="F105" t="s">
        <v>36</v>
      </c>
      <c r="G105" t="s">
        <v>519</v>
      </c>
      <c r="H105" t="s">
        <v>519</v>
      </c>
      <c r="I105" t="s">
        <v>520</v>
      </c>
      <c r="J105" t="s">
        <v>519</v>
      </c>
      <c r="K105">
        <v>2</v>
      </c>
      <c r="L105">
        <v>2</v>
      </c>
    </row>
    <row r="106" spans="1:12" x14ac:dyDescent="0.2">
      <c r="A106">
        <v>105</v>
      </c>
      <c r="B106" t="s">
        <v>17</v>
      </c>
      <c r="C106" t="s">
        <v>22</v>
      </c>
      <c r="D106" t="s">
        <v>139</v>
      </c>
      <c r="E106">
        <v>19240104803</v>
      </c>
      <c r="F106" t="s">
        <v>35</v>
      </c>
      <c r="G106" t="s">
        <v>519</v>
      </c>
      <c r="H106" t="s">
        <v>520</v>
      </c>
      <c r="I106" t="s">
        <v>520</v>
      </c>
      <c r="J106" t="s">
        <v>519</v>
      </c>
      <c r="K106">
        <v>1</v>
      </c>
      <c r="L106">
        <v>1</v>
      </c>
    </row>
    <row r="107" spans="1:12" x14ac:dyDescent="0.2">
      <c r="A107">
        <v>106</v>
      </c>
      <c r="B107" t="s">
        <v>17</v>
      </c>
      <c r="C107" t="s">
        <v>22</v>
      </c>
      <c r="D107" t="s">
        <v>140</v>
      </c>
      <c r="E107">
        <v>19240101301</v>
      </c>
      <c r="F107" t="s">
        <v>36</v>
      </c>
      <c r="G107" t="s">
        <v>520</v>
      </c>
      <c r="H107" t="s">
        <v>519</v>
      </c>
      <c r="I107" t="s">
        <v>520</v>
      </c>
      <c r="J107" t="s">
        <v>519</v>
      </c>
      <c r="K107">
        <v>1</v>
      </c>
      <c r="L107">
        <v>1</v>
      </c>
    </row>
    <row r="108" spans="1:12" x14ac:dyDescent="0.2">
      <c r="A108">
        <v>107</v>
      </c>
      <c r="B108" t="s">
        <v>17</v>
      </c>
      <c r="C108" t="s">
        <v>22</v>
      </c>
      <c r="D108" t="s">
        <v>141</v>
      </c>
      <c r="E108">
        <v>19240106904</v>
      </c>
      <c r="F108" t="s">
        <v>37</v>
      </c>
      <c r="G108" t="s">
        <v>519</v>
      </c>
      <c r="H108" t="s">
        <v>520</v>
      </c>
      <c r="I108" t="s">
        <v>520</v>
      </c>
      <c r="J108" t="s">
        <v>519</v>
      </c>
      <c r="K108">
        <v>1</v>
      </c>
      <c r="L108">
        <v>1</v>
      </c>
    </row>
    <row r="109" spans="1:12" x14ac:dyDescent="0.2">
      <c r="A109">
        <v>108</v>
      </c>
      <c r="B109" t="s">
        <v>17</v>
      </c>
      <c r="C109" t="s">
        <v>22</v>
      </c>
      <c r="D109" t="s">
        <v>142</v>
      </c>
      <c r="E109">
        <v>19240106102</v>
      </c>
      <c r="F109" t="s">
        <v>35</v>
      </c>
      <c r="G109" t="s">
        <v>520</v>
      </c>
      <c r="H109" t="s">
        <v>520</v>
      </c>
      <c r="I109" t="s">
        <v>520</v>
      </c>
      <c r="J109" t="s">
        <v>519</v>
      </c>
      <c r="K109">
        <v>4</v>
      </c>
      <c r="L109">
        <v>2</v>
      </c>
    </row>
    <row r="110" spans="1:12" x14ac:dyDescent="0.2">
      <c r="A110">
        <v>109</v>
      </c>
      <c r="B110" t="s">
        <v>17</v>
      </c>
      <c r="C110" t="s">
        <v>22</v>
      </c>
      <c r="D110" t="s">
        <v>143</v>
      </c>
      <c r="E110">
        <v>19240105301</v>
      </c>
      <c r="F110" t="s">
        <v>37</v>
      </c>
      <c r="G110" t="s">
        <v>519</v>
      </c>
      <c r="H110" t="s">
        <v>520</v>
      </c>
      <c r="I110" t="s">
        <v>520</v>
      </c>
      <c r="J110" t="s">
        <v>519</v>
      </c>
      <c r="K110">
        <v>3</v>
      </c>
      <c r="L110">
        <v>1</v>
      </c>
    </row>
    <row r="111" spans="1:12" x14ac:dyDescent="0.2">
      <c r="A111">
        <v>110</v>
      </c>
      <c r="B111" t="s">
        <v>17</v>
      </c>
      <c r="C111" t="s">
        <v>22</v>
      </c>
      <c r="D111" t="s">
        <v>144</v>
      </c>
      <c r="E111">
        <v>19240106201</v>
      </c>
      <c r="F111" t="s">
        <v>36</v>
      </c>
      <c r="G111" t="s">
        <v>519</v>
      </c>
      <c r="H111" t="s">
        <v>520</v>
      </c>
      <c r="I111" t="s">
        <v>520</v>
      </c>
      <c r="J111" t="s">
        <v>519</v>
      </c>
      <c r="K111">
        <v>4</v>
      </c>
      <c r="L111">
        <v>2</v>
      </c>
    </row>
    <row r="112" spans="1:12" x14ac:dyDescent="0.2">
      <c r="A112">
        <v>111</v>
      </c>
      <c r="B112" t="s">
        <v>17</v>
      </c>
      <c r="C112" t="s">
        <v>512</v>
      </c>
      <c r="D112" t="s">
        <v>145</v>
      </c>
      <c r="E112">
        <v>19240306602</v>
      </c>
      <c r="F112" t="s">
        <v>35</v>
      </c>
      <c r="G112" t="s">
        <v>520</v>
      </c>
      <c r="H112" t="s">
        <v>520</v>
      </c>
      <c r="I112" t="s">
        <v>520</v>
      </c>
      <c r="J112" t="s">
        <v>519</v>
      </c>
      <c r="K112">
        <v>3</v>
      </c>
      <c r="L112">
        <v>1</v>
      </c>
    </row>
    <row r="113" spans="1:12" x14ac:dyDescent="0.2">
      <c r="A113">
        <v>112</v>
      </c>
      <c r="B113" t="s">
        <v>17</v>
      </c>
      <c r="C113" t="s">
        <v>22</v>
      </c>
      <c r="D113" t="s">
        <v>146</v>
      </c>
      <c r="E113">
        <v>19240106601</v>
      </c>
      <c r="F113" t="s">
        <v>36</v>
      </c>
      <c r="G113" t="s">
        <v>520</v>
      </c>
      <c r="H113" t="s">
        <v>520</v>
      </c>
      <c r="I113" t="s">
        <v>519</v>
      </c>
      <c r="J113" t="s">
        <v>519</v>
      </c>
      <c r="K113">
        <v>2</v>
      </c>
      <c r="L113">
        <v>1</v>
      </c>
    </row>
    <row r="114" spans="1:12" x14ac:dyDescent="0.2">
      <c r="A114">
        <v>113</v>
      </c>
      <c r="B114" t="s">
        <v>17</v>
      </c>
      <c r="C114" t="s">
        <v>22</v>
      </c>
      <c r="D114" t="s">
        <v>147</v>
      </c>
      <c r="E114">
        <v>19240106401</v>
      </c>
      <c r="F114" t="s">
        <v>36</v>
      </c>
      <c r="G114" t="s">
        <v>519</v>
      </c>
      <c r="H114" t="s">
        <v>520</v>
      </c>
      <c r="I114" t="s">
        <v>520</v>
      </c>
      <c r="J114" t="s">
        <v>519</v>
      </c>
      <c r="K114">
        <v>1</v>
      </c>
      <c r="L114">
        <v>1</v>
      </c>
    </row>
    <row r="115" spans="1:12" x14ac:dyDescent="0.2">
      <c r="A115">
        <v>114</v>
      </c>
      <c r="B115" t="s">
        <v>17</v>
      </c>
      <c r="C115" t="s">
        <v>22</v>
      </c>
      <c r="D115" t="s">
        <v>148</v>
      </c>
      <c r="E115">
        <v>19240106202</v>
      </c>
      <c r="F115" t="s">
        <v>36</v>
      </c>
      <c r="G115" t="s">
        <v>520</v>
      </c>
      <c r="H115" t="s">
        <v>519</v>
      </c>
      <c r="I115" t="s">
        <v>520</v>
      </c>
      <c r="J115" t="s">
        <v>519</v>
      </c>
      <c r="K115">
        <v>1</v>
      </c>
      <c r="L115">
        <v>1</v>
      </c>
    </row>
    <row r="116" spans="1:12" x14ac:dyDescent="0.2">
      <c r="A116">
        <v>115</v>
      </c>
      <c r="B116" t="s">
        <v>17</v>
      </c>
      <c r="C116" t="s">
        <v>22</v>
      </c>
      <c r="D116" t="s">
        <v>149</v>
      </c>
      <c r="E116">
        <v>19240102503</v>
      </c>
      <c r="F116" t="s">
        <v>35</v>
      </c>
      <c r="G116" t="s">
        <v>519</v>
      </c>
      <c r="H116" t="s">
        <v>520</v>
      </c>
      <c r="I116" t="s">
        <v>520</v>
      </c>
      <c r="J116" t="s">
        <v>519</v>
      </c>
      <c r="K116">
        <v>2</v>
      </c>
      <c r="L116">
        <v>2</v>
      </c>
    </row>
    <row r="117" spans="1:12" x14ac:dyDescent="0.2">
      <c r="A117">
        <v>116</v>
      </c>
      <c r="B117" t="s">
        <v>17</v>
      </c>
      <c r="C117" t="s">
        <v>22</v>
      </c>
      <c r="D117" t="s">
        <v>150</v>
      </c>
      <c r="E117">
        <v>19240104902</v>
      </c>
      <c r="F117" t="s">
        <v>36</v>
      </c>
      <c r="G117" t="s">
        <v>519</v>
      </c>
      <c r="H117" t="s">
        <v>520</v>
      </c>
      <c r="I117" t="s">
        <v>520</v>
      </c>
      <c r="J117" t="s">
        <v>519</v>
      </c>
      <c r="K117">
        <v>1</v>
      </c>
      <c r="L117">
        <v>1</v>
      </c>
    </row>
    <row r="118" spans="1:12" x14ac:dyDescent="0.2">
      <c r="A118">
        <v>117</v>
      </c>
      <c r="B118" t="s">
        <v>17</v>
      </c>
      <c r="C118" t="s">
        <v>22</v>
      </c>
      <c r="D118" t="s">
        <v>151</v>
      </c>
      <c r="E118">
        <v>19240100101</v>
      </c>
      <c r="F118" t="s">
        <v>37</v>
      </c>
      <c r="G118" t="s">
        <v>520</v>
      </c>
      <c r="H118" t="s">
        <v>519</v>
      </c>
      <c r="I118" t="s">
        <v>520</v>
      </c>
      <c r="J118" t="s">
        <v>519</v>
      </c>
      <c r="K118">
        <v>1</v>
      </c>
      <c r="L118">
        <v>1</v>
      </c>
    </row>
    <row r="119" spans="1:12" x14ac:dyDescent="0.2">
      <c r="A119">
        <v>118</v>
      </c>
      <c r="B119" t="s">
        <v>17</v>
      </c>
      <c r="C119" t="s">
        <v>22</v>
      </c>
      <c r="D119" t="s">
        <v>152</v>
      </c>
      <c r="E119">
        <v>19240101501</v>
      </c>
      <c r="F119" t="s">
        <v>35</v>
      </c>
      <c r="G119" t="s">
        <v>520</v>
      </c>
      <c r="H119" t="s">
        <v>520</v>
      </c>
      <c r="I119" t="s">
        <v>520</v>
      </c>
      <c r="J119" t="s">
        <v>519</v>
      </c>
      <c r="K119">
        <v>1</v>
      </c>
      <c r="L119">
        <v>1</v>
      </c>
    </row>
    <row r="120" spans="1:12" x14ac:dyDescent="0.2">
      <c r="A120">
        <v>119</v>
      </c>
      <c r="B120" t="s">
        <v>17</v>
      </c>
      <c r="C120" t="s">
        <v>22</v>
      </c>
      <c r="D120" t="s">
        <v>153</v>
      </c>
      <c r="E120">
        <v>19240102801</v>
      </c>
      <c r="F120" t="s">
        <v>37</v>
      </c>
      <c r="G120" t="s">
        <v>520</v>
      </c>
      <c r="H120" t="s">
        <v>520</v>
      </c>
      <c r="I120" t="s">
        <v>520</v>
      </c>
      <c r="J120" t="s">
        <v>519</v>
      </c>
      <c r="K120">
        <v>1</v>
      </c>
      <c r="L120">
        <v>1</v>
      </c>
    </row>
    <row r="121" spans="1:12" x14ac:dyDescent="0.2">
      <c r="A121">
        <v>120</v>
      </c>
      <c r="B121" t="s">
        <v>17</v>
      </c>
      <c r="C121" t="s">
        <v>22</v>
      </c>
      <c r="D121" t="s">
        <v>154</v>
      </c>
      <c r="E121">
        <v>19240102301</v>
      </c>
      <c r="F121" t="s">
        <v>36</v>
      </c>
      <c r="G121" t="s">
        <v>519</v>
      </c>
      <c r="H121" t="s">
        <v>520</v>
      </c>
      <c r="I121" t="s">
        <v>520</v>
      </c>
      <c r="J121" t="s">
        <v>519</v>
      </c>
      <c r="K121">
        <v>5</v>
      </c>
      <c r="L121">
        <v>5</v>
      </c>
    </row>
    <row r="122" spans="1:12" x14ac:dyDescent="0.2">
      <c r="A122">
        <v>121</v>
      </c>
      <c r="B122" t="s">
        <v>17</v>
      </c>
      <c r="C122" t="s">
        <v>22</v>
      </c>
      <c r="D122" t="s">
        <v>155</v>
      </c>
      <c r="E122">
        <v>19240102601</v>
      </c>
      <c r="F122" t="s">
        <v>35</v>
      </c>
      <c r="G122" t="s">
        <v>519</v>
      </c>
      <c r="H122" t="s">
        <v>520</v>
      </c>
      <c r="I122" t="s">
        <v>520</v>
      </c>
      <c r="J122" t="s">
        <v>519</v>
      </c>
      <c r="K122">
        <v>2</v>
      </c>
      <c r="L122">
        <v>1</v>
      </c>
    </row>
    <row r="123" spans="1:12" x14ac:dyDescent="0.2">
      <c r="A123">
        <v>122</v>
      </c>
      <c r="B123" t="s">
        <v>17</v>
      </c>
      <c r="C123" t="s">
        <v>22</v>
      </c>
      <c r="D123" t="s">
        <v>156</v>
      </c>
      <c r="E123">
        <v>19240104004</v>
      </c>
      <c r="F123" t="s">
        <v>36</v>
      </c>
      <c r="G123" t="s">
        <v>520</v>
      </c>
      <c r="H123" t="s">
        <v>519</v>
      </c>
      <c r="I123" t="s">
        <v>520</v>
      </c>
      <c r="J123" t="s">
        <v>519</v>
      </c>
      <c r="K123">
        <v>2</v>
      </c>
      <c r="L123">
        <v>1</v>
      </c>
    </row>
    <row r="124" spans="1:12" x14ac:dyDescent="0.2">
      <c r="A124">
        <v>123</v>
      </c>
      <c r="B124" t="s">
        <v>17</v>
      </c>
      <c r="C124" t="s">
        <v>22</v>
      </c>
      <c r="D124" t="s">
        <v>157</v>
      </c>
      <c r="E124">
        <v>19240104001</v>
      </c>
      <c r="F124" t="s">
        <v>36</v>
      </c>
      <c r="G124" t="s">
        <v>520</v>
      </c>
      <c r="H124" t="s">
        <v>520</v>
      </c>
      <c r="I124" t="s">
        <v>520</v>
      </c>
      <c r="J124" t="s">
        <v>519</v>
      </c>
      <c r="K124">
        <v>1</v>
      </c>
      <c r="L124">
        <v>1</v>
      </c>
    </row>
    <row r="125" spans="1:12" x14ac:dyDescent="0.2">
      <c r="A125">
        <v>124</v>
      </c>
      <c r="B125" t="s">
        <v>17</v>
      </c>
      <c r="C125" t="s">
        <v>22</v>
      </c>
      <c r="D125" t="s">
        <v>158</v>
      </c>
      <c r="E125">
        <v>19240106403</v>
      </c>
      <c r="F125" t="s">
        <v>36</v>
      </c>
      <c r="G125" t="s">
        <v>520</v>
      </c>
      <c r="H125" t="s">
        <v>519</v>
      </c>
      <c r="I125" t="s">
        <v>520</v>
      </c>
      <c r="J125" t="s">
        <v>519</v>
      </c>
      <c r="K125">
        <v>1</v>
      </c>
      <c r="L125">
        <v>1</v>
      </c>
    </row>
    <row r="126" spans="1:12" x14ac:dyDescent="0.2">
      <c r="A126">
        <v>125</v>
      </c>
      <c r="B126" t="s">
        <v>17</v>
      </c>
      <c r="C126" t="s">
        <v>22</v>
      </c>
      <c r="D126" t="s">
        <v>159</v>
      </c>
      <c r="E126">
        <v>19240101001</v>
      </c>
      <c r="F126" t="s">
        <v>35</v>
      </c>
      <c r="G126" t="s">
        <v>519</v>
      </c>
      <c r="H126" t="s">
        <v>520</v>
      </c>
      <c r="I126" t="s">
        <v>520</v>
      </c>
      <c r="J126" t="s">
        <v>519</v>
      </c>
      <c r="K126">
        <v>1</v>
      </c>
      <c r="L126">
        <v>1</v>
      </c>
    </row>
    <row r="127" spans="1:12" x14ac:dyDescent="0.2">
      <c r="A127">
        <v>126</v>
      </c>
      <c r="B127" t="s">
        <v>17</v>
      </c>
      <c r="C127" t="s">
        <v>22</v>
      </c>
      <c r="D127" t="s">
        <v>160</v>
      </c>
      <c r="E127">
        <v>19240104302</v>
      </c>
      <c r="F127" t="s">
        <v>36</v>
      </c>
      <c r="G127" t="s">
        <v>519</v>
      </c>
      <c r="H127" t="s">
        <v>520</v>
      </c>
      <c r="I127" t="s">
        <v>520</v>
      </c>
      <c r="J127" t="s">
        <v>519</v>
      </c>
      <c r="K127">
        <v>3</v>
      </c>
      <c r="L127">
        <v>1</v>
      </c>
    </row>
    <row r="128" spans="1:12" x14ac:dyDescent="0.2">
      <c r="A128">
        <v>127</v>
      </c>
      <c r="B128" t="s">
        <v>17</v>
      </c>
      <c r="C128" t="s">
        <v>22</v>
      </c>
      <c r="D128" t="s">
        <v>161</v>
      </c>
      <c r="E128">
        <v>19240104301</v>
      </c>
      <c r="F128" t="s">
        <v>37</v>
      </c>
      <c r="G128" t="s">
        <v>519</v>
      </c>
      <c r="H128" t="s">
        <v>520</v>
      </c>
      <c r="I128" t="s">
        <v>520</v>
      </c>
      <c r="J128" t="s">
        <v>519</v>
      </c>
      <c r="K128">
        <v>5</v>
      </c>
      <c r="L128">
        <v>8</v>
      </c>
    </row>
    <row r="129" spans="1:12" x14ac:dyDescent="0.2">
      <c r="A129">
        <v>128</v>
      </c>
      <c r="B129" t="s">
        <v>17</v>
      </c>
      <c r="C129" t="s">
        <v>22</v>
      </c>
      <c r="D129" t="s">
        <v>162</v>
      </c>
      <c r="E129">
        <v>19240104501</v>
      </c>
      <c r="F129" t="s">
        <v>35</v>
      </c>
      <c r="G129" t="s">
        <v>520</v>
      </c>
      <c r="H129" t="s">
        <v>519</v>
      </c>
      <c r="I129" t="s">
        <v>520</v>
      </c>
      <c r="J129" t="s">
        <v>519</v>
      </c>
      <c r="K129">
        <v>3</v>
      </c>
      <c r="L129">
        <v>1</v>
      </c>
    </row>
    <row r="130" spans="1:12" x14ac:dyDescent="0.2">
      <c r="A130">
        <v>129</v>
      </c>
      <c r="B130" t="s">
        <v>17</v>
      </c>
      <c r="C130" t="s">
        <v>22</v>
      </c>
      <c r="D130" t="s">
        <v>163</v>
      </c>
      <c r="E130">
        <v>19240104002</v>
      </c>
      <c r="F130" t="s">
        <v>37</v>
      </c>
      <c r="G130" t="s">
        <v>520</v>
      </c>
      <c r="H130" t="s">
        <v>519</v>
      </c>
      <c r="I130" t="s">
        <v>520</v>
      </c>
      <c r="J130" t="s">
        <v>519</v>
      </c>
      <c r="K130">
        <v>3</v>
      </c>
      <c r="L130">
        <v>1</v>
      </c>
    </row>
    <row r="131" spans="1:12" x14ac:dyDescent="0.2">
      <c r="A131">
        <v>130</v>
      </c>
      <c r="B131" t="s">
        <v>17</v>
      </c>
      <c r="C131" t="s">
        <v>22</v>
      </c>
      <c r="D131" t="s">
        <v>164</v>
      </c>
      <c r="E131">
        <v>19240106701</v>
      </c>
      <c r="F131" t="s">
        <v>36</v>
      </c>
      <c r="G131" t="s">
        <v>520</v>
      </c>
      <c r="H131" t="s">
        <v>520</v>
      </c>
      <c r="I131" t="s">
        <v>520</v>
      </c>
      <c r="J131" t="s">
        <v>519</v>
      </c>
      <c r="K131">
        <v>3</v>
      </c>
      <c r="L131">
        <v>1</v>
      </c>
    </row>
    <row r="132" spans="1:12" x14ac:dyDescent="0.2">
      <c r="A132">
        <v>131</v>
      </c>
      <c r="B132" t="s">
        <v>17</v>
      </c>
      <c r="C132" t="s">
        <v>22</v>
      </c>
      <c r="D132" t="s">
        <v>165</v>
      </c>
      <c r="E132">
        <v>19240101902</v>
      </c>
      <c r="F132" t="s">
        <v>35</v>
      </c>
      <c r="G132" t="s">
        <v>519</v>
      </c>
      <c r="H132" t="s">
        <v>520</v>
      </c>
      <c r="I132" t="s">
        <v>520</v>
      </c>
      <c r="J132" t="s">
        <v>519</v>
      </c>
      <c r="K132">
        <v>1</v>
      </c>
      <c r="L132">
        <v>1</v>
      </c>
    </row>
    <row r="133" spans="1:12" x14ac:dyDescent="0.2">
      <c r="A133">
        <v>132</v>
      </c>
      <c r="B133" t="s">
        <v>17</v>
      </c>
      <c r="C133" t="s">
        <v>22</v>
      </c>
      <c r="D133" t="s">
        <v>166</v>
      </c>
      <c r="E133">
        <v>19240104804</v>
      </c>
      <c r="F133" t="s">
        <v>36</v>
      </c>
      <c r="G133" t="s">
        <v>519</v>
      </c>
      <c r="H133" t="s">
        <v>520</v>
      </c>
      <c r="I133" t="s">
        <v>520</v>
      </c>
      <c r="J133" t="s">
        <v>519</v>
      </c>
      <c r="K133">
        <v>1</v>
      </c>
      <c r="L133">
        <v>1</v>
      </c>
    </row>
    <row r="134" spans="1:12" x14ac:dyDescent="0.2">
      <c r="A134">
        <v>133</v>
      </c>
      <c r="B134" t="s">
        <v>17</v>
      </c>
      <c r="C134" t="s">
        <v>22</v>
      </c>
      <c r="D134" t="s">
        <v>167</v>
      </c>
      <c r="E134">
        <v>19240103503</v>
      </c>
      <c r="F134" t="s">
        <v>36</v>
      </c>
      <c r="G134" t="s">
        <v>519</v>
      </c>
      <c r="H134" t="s">
        <v>520</v>
      </c>
      <c r="I134" t="s">
        <v>520</v>
      </c>
      <c r="J134" t="s">
        <v>519</v>
      </c>
      <c r="K134">
        <v>1</v>
      </c>
      <c r="L134">
        <v>1</v>
      </c>
    </row>
    <row r="135" spans="1:12" x14ac:dyDescent="0.2">
      <c r="A135">
        <v>134</v>
      </c>
      <c r="B135" t="s">
        <v>17</v>
      </c>
      <c r="C135" t="s">
        <v>22</v>
      </c>
      <c r="D135" t="s">
        <v>168</v>
      </c>
      <c r="E135">
        <v>19240102802</v>
      </c>
      <c r="F135" t="s">
        <v>36</v>
      </c>
      <c r="G135" t="s">
        <v>520</v>
      </c>
      <c r="H135" t="s">
        <v>520</v>
      </c>
      <c r="I135" t="s">
        <v>520</v>
      </c>
      <c r="J135" t="s">
        <v>519</v>
      </c>
      <c r="K135">
        <v>2</v>
      </c>
      <c r="L135">
        <v>1</v>
      </c>
    </row>
    <row r="136" spans="1:12" x14ac:dyDescent="0.2">
      <c r="A136">
        <v>135</v>
      </c>
      <c r="B136" t="s">
        <v>17</v>
      </c>
      <c r="C136" t="s">
        <v>22</v>
      </c>
      <c r="D136" t="s">
        <v>169</v>
      </c>
      <c r="E136">
        <v>19240102504</v>
      </c>
      <c r="F136" t="s">
        <v>35</v>
      </c>
      <c r="G136" t="s">
        <v>520</v>
      </c>
      <c r="H136" t="s">
        <v>520</v>
      </c>
      <c r="I136" t="s">
        <v>520</v>
      </c>
      <c r="J136" t="s">
        <v>519</v>
      </c>
      <c r="K136">
        <v>1</v>
      </c>
      <c r="L136">
        <v>1</v>
      </c>
    </row>
    <row r="137" spans="1:12" x14ac:dyDescent="0.2">
      <c r="A137">
        <v>136</v>
      </c>
      <c r="B137" t="s">
        <v>17</v>
      </c>
      <c r="C137" t="s">
        <v>22</v>
      </c>
      <c r="D137" t="s">
        <v>170</v>
      </c>
      <c r="E137">
        <v>19240102701</v>
      </c>
      <c r="F137" t="s">
        <v>36</v>
      </c>
      <c r="G137" t="s">
        <v>520</v>
      </c>
      <c r="H137" t="s">
        <v>519</v>
      </c>
      <c r="I137" t="s">
        <v>520</v>
      </c>
      <c r="J137" t="s">
        <v>519</v>
      </c>
      <c r="K137">
        <v>3</v>
      </c>
      <c r="L137">
        <v>1</v>
      </c>
    </row>
    <row r="138" spans="1:12" x14ac:dyDescent="0.2">
      <c r="A138">
        <v>137</v>
      </c>
      <c r="B138" t="s">
        <v>17</v>
      </c>
      <c r="C138" t="s">
        <v>22</v>
      </c>
      <c r="D138" t="s">
        <v>171</v>
      </c>
      <c r="E138">
        <v>19240107401</v>
      </c>
      <c r="F138" t="s">
        <v>37</v>
      </c>
      <c r="G138" t="s">
        <v>520</v>
      </c>
      <c r="H138" t="s">
        <v>520</v>
      </c>
      <c r="I138" t="s">
        <v>520</v>
      </c>
      <c r="J138" t="s">
        <v>519</v>
      </c>
      <c r="K138">
        <v>3</v>
      </c>
      <c r="L138">
        <v>1</v>
      </c>
    </row>
    <row r="139" spans="1:12" x14ac:dyDescent="0.2">
      <c r="A139">
        <v>138</v>
      </c>
      <c r="B139" t="s">
        <v>17</v>
      </c>
      <c r="C139" t="s">
        <v>22</v>
      </c>
      <c r="D139" t="s">
        <v>172</v>
      </c>
      <c r="E139">
        <v>19240104003</v>
      </c>
      <c r="F139" t="s">
        <v>35</v>
      </c>
      <c r="G139" t="s">
        <v>519</v>
      </c>
      <c r="H139" t="s">
        <v>519</v>
      </c>
      <c r="I139" t="s">
        <v>520</v>
      </c>
      <c r="J139" t="s">
        <v>519</v>
      </c>
      <c r="K139">
        <v>1</v>
      </c>
      <c r="L139">
        <v>1</v>
      </c>
    </row>
    <row r="140" spans="1:12" x14ac:dyDescent="0.2">
      <c r="A140">
        <v>139</v>
      </c>
      <c r="B140" t="s">
        <v>17</v>
      </c>
      <c r="C140" t="s">
        <v>510</v>
      </c>
      <c r="D140" t="s">
        <v>173</v>
      </c>
      <c r="E140">
        <v>19240204001</v>
      </c>
      <c r="F140" t="s">
        <v>37</v>
      </c>
      <c r="G140" t="s">
        <v>519</v>
      </c>
      <c r="H140" t="s">
        <v>519</v>
      </c>
      <c r="I140" t="s">
        <v>520</v>
      </c>
      <c r="J140" t="s">
        <v>519</v>
      </c>
      <c r="K140">
        <v>2</v>
      </c>
      <c r="L140">
        <v>10</v>
      </c>
    </row>
    <row r="141" spans="1:12" x14ac:dyDescent="0.2">
      <c r="A141">
        <v>140</v>
      </c>
      <c r="B141" t="s">
        <v>17</v>
      </c>
      <c r="C141" t="s">
        <v>510</v>
      </c>
      <c r="D141" t="s">
        <v>174</v>
      </c>
      <c r="E141">
        <v>19240202806</v>
      </c>
      <c r="F141" t="s">
        <v>36</v>
      </c>
      <c r="G141" t="s">
        <v>519</v>
      </c>
      <c r="H141" t="s">
        <v>520</v>
      </c>
      <c r="I141" t="s">
        <v>520</v>
      </c>
      <c r="J141" t="s">
        <v>519</v>
      </c>
      <c r="K141">
        <v>3</v>
      </c>
      <c r="L141">
        <v>3</v>
      </c>
    </row>
    <row r="142" spans="1:12" x14ac:dyDescent="0.2">
      <c r="A142">
        <v>141</v>
      </c>
      <c r="B142" t="s">
        <v>17</v>
      </c>
      <c r="C142" t="s">
        <v>510</v>
      </c>
      <c r="D142" t="s">
        <v>175</v>
      </c>
      <c r="E142">
        <v>19240200402</v>
      </c>
      <c r="F142" t="s">
        <v>35</v>
      </c>
      <c r="G142" t="s">
        <v>519</v>
      </c>
      <c r="H142" t="s">
        <v>520</v>
      </c>
      <c r="I142" t="s">
        <v>520</v>
      </c>
      <c r="J142" t="s">
        <v>519</v>
      </c>
      <c r="K142">
        <v>1</v>
      </c>
      <c r="L142">
        <v>1</v>
      </c>
    </row>
    <row r="143" spans="1:12" x14ac:dyDescent="0.2">
      <c r="A143">
        <v>142</v>
      </c>
      <c r="B143" t="s">
        <v>17</v>
      </c>
      <c r="C143" t="s">
        <v>510</v>
      </c>
      <c r="D143" t="s">
        <v>176</v>
      </c>
      <c r="E143">
        <v>19240205802</v>
      </c>
      <c r="F143" t="s">
        <v>36</v>
      </c>
      <c r="G143" t="s">
        <v>519</v>
      </c>
      <c r="H143" t="s">
        <v>519</v>
      </c>
      <c r="I143" t="s">
        <v>520</v>
      </c>
      <c r="J143" t="s">
        <v>519</v>
      </c>
      <c r="K143">
        <v>1</v>
      </c>
      <c r="L143">
        <v>1</v>
      </c>
    </row>
    <row r="144" spans="1:12" x14ac:dyDescent="0.2">
      <c r="A144">
        <v>143</v>
      </c>
      <c r="B144" t="s">
        <v>17</v>
      </c>
      <c r="C144" t="s">
        <v>510</v>
      </c>
      <c r="D144" t="s">
        <v>177</v>
      </c>
      <c r="E144">
        <v>19240201502</v>
      </c>
      <c r="F144" t="s">
        <v>36</v>
      </c>
      <c r="G144" t="s">
        <v>520</v>
      </c>
      <c r="H144" t="s">
        <v>520</v>
      </c>
      <c r="I144" t="s">
        <v>520</v>
      </c>
      <c r="J144" t="s">
        <v>519</v>
      </c>
      <c r="K144">
        <v>1</v>
      </c>
      <c r="L144">
        <v>1</v>
      </c>
    </row>
    <row r="145" spans="1:12" x14ac:dyDescent="0.2">
      <c r="A145">
        <v>144</v>
      </c>
      <c r="B145" t="s">
        <v>17</v>
      </c>
      <c r="C145" t="s">
        <v>510</v>
      </c>
      <c r="D145" t="s">
        <v>178</v>
      </c>
      <c r="E145">
        <v>19240201503</v>
      </c>
      <c r="F145" t="s">
        <v>36</v>
      </c>
      <c r="G145" t="s">
        <v>520</v>
      </c>
      <c r="H145" t="s">
        <v>520</v>
      </c>
      <c r="I145" t="s">
        <v>520</v>
      </c>
      <c r="J145" t="s">
        <v>519</v>
      </c>
      <c r="K145">
        <v>1</v>
      </c>
      <c r="L145">
        <v>1</v>
      </c>
    </row>
    <row r="146" spans="1:12" x14ac:dyDescent="0.2">
      <c r="A146">
        <v>145</v>
      </c>
      <c r="B146" t="s">
        <v>17</v>
      </c>
      <c r="C146" t="s">
        <v>510</v>
      </c>
      <c r="D146" t="s">
        <v>179</v>
      </c>
      <c r="E146">
        <v>19240200709</v>
      </c>
      <c r="F146" t="s">
        <v>35</v>
      </c>
      <c r="G146" t="s">
        <v>520</v>
      </c>
      <c r="H146" t="s">
        <v>519</v>
      </c>
      <c r="I146" t="s">
        <v>520</v>
      </c>
      <c r="J146" t="s">
        <v>519</v>
      </c>
      <c r="K146">
        <v>3</v>
      </c>
      <c r="L146">
        <v>1</v>
      </c>
    </row>
    <row r="147" spans="1:12" x14ac:dyDescent="0.2">
      <c r="A147">
        <v>146</v>
      </c>
      <c r="B147" t="s">
        <v>17</v>
      </c>
      <c r="C147" t="s">
        <v>510</v>
      </c>
      <c r="D147" t="s">
        <v>180</v>
      </c>
      <c r="E147">
        <v>19240201505</v>
      </c>
      <c r="F147" t="s">
        <v>36</v>
      </c>
      <c r="G147" t="s">
        <v>519</v>
      </c>
      <c r="H147" t="s">
        <v>520</v>
      </c>
      <c r="I147" t="s">
        <v>520</v>
      </c>
      <c r="J147" t="s">
        <v>519</v>
      </c>
      <c r="K147">
        <v>1</v>
      </c>
      <c r="L147">
        <v>1</v>
      </c>
    </row>
    <row r="148" spans="1:12" x14ac:dyDescent="0.2">
      <c r="A148">
        <v>147</v>
      </c>
      <c r="B148" t="s">
        <v>17</v>
      </c>
      <c r="C148" t="s">
        <v>510</v>
      </c>
      <c r="D148" t="s">
        <v>181</v>
      </c>
      <c r="E148">
        <v>19240201301</v>
      </c>
      <c r="F148" t="s">
        <v>37</v>
      </c>
      <c r="G148" t="s">
        <v>520</v>
      </c>
      <c r="H148" t="s">
        <v>519</v>
      </c>
      <c r="I148" t="s">
        <v>520</v>
      </c>
      <c r="J148" t="s">
        <v>519</v>
      </c>
      <c r="K148">
        <v>1</v>
      </c>
      <c r="L148">
        <v>1</v>
      </c>
    </row>
    <row r="149" spans="1:12" x14ac:dyDescent="0.2">
      <c r="A149">
        <v>148</v>
      </c>
      <c r="B149" t="s">
        <v>17</v>
      </c>
      <c r="C149" t="s">
        <v>510</v>
      </c>
      <c r="D149" t="s">
        <v>182</v>
      </c>
      <c r="E149">
        <v>19240201401</v>
      </c>
      <c r="F149" t="s">
        <v>35</v>
      </c>
      <c r="G149" t="s">
        <v>520</v>
      </c>
      <c r="H149" t="s">
        <v>519</v>
      </c>
      <c r="I149" t="s">
        <v>520</v>
      </c>
      <c r="J149" t="s">
        <v>519</v>
      </c>
      <c r="K149">
        <v>1</v>
      </c>
      <c r="L149">
        <v>1</v>
      </c>
    </row>
    <row r="150" spans="1:12" x14ac:dyDescent="0.2">
      <c r="A150">
        <v>149</v>
      </c>
      <c r="B150" t="s">
        <v>17</v>
      </c>
      <c r="C150" t="s">
        <v>510</v>
      </c>
      <c r="D150" t="s">
        <v>183</v>
      </c>
      <c r="E150">
        <v>19240201402</v>
      </c>
      <c r="F150" t="s">
        <v>37</v>
      </c>
      <c r="G150" t="s">
        <v>519</v>
      </c>
      <c r="H150" t="s">
        <v>520</v>
      </c>
      <c r="I150" t="s">
        <v>520</v>
      </c>
      <c r="J150" t="s">
        <v>519</v>
      </c>
      <c r="K150">
        <v>1</v>
      </c>
      <c r="L150">
        <v>1</v>
      </c>
    </row>
    <row r="151" spans="1:12" x14ac:dyDescent="0.2">
      <c r="A151">
        <v>150</v>
      </c>
      <c r="B151" t="s">
        <v>17</v>
      </c>
      <c r="C151" t="s">
        <v>510</v>
      </c>
      <c r="D151" t="s">
        <v>184</v>
      </c>
      <c r="E151">
        <v>19240203902</v>
      </c>
      <c r="F151" t="s">
        <v>36</v>
      </c>
      <c r="G151" t="s">
        <v>520</v>
      </c>
      <c r="H151" t="s">
        <v>519</v>
      </c>
      <c r="I151" t="s">
        <v>520</v>
      </c>
      <c r="J151" t="s">
        <v>519</v>
      </c>
      <c r="K151">
        <v>3</v>
      </c>
      <c r="L151">
        <v>1</v>
      </c>
    </row>
    <row r="152" spans="1:12" x14ac:dyDescent="0.2">
      <c r="A152">
        <v>151</v>
      </c>
      <c r="B152" t="s">
        <v>17</v>
      </c>
      <c r="C152" t="s">
        <v>512</v>
      </c>
      <c r="D152" t="s">
        <v>185</v>
      </c>
      <c r="E152">
        <v>19240305801</v>
      </c>
      <c r="F152" t="s">
        <v>35</v>
      </c>
      <c r="G152" t="s">
        <v>520</v>
      </c>
      <c r="H152" t="s">
        <v>519</v>
      </c>
      <c r="I152" t="s">
        <v>520</v>
      </c>
      <c r="J152" t="s">
        <v>519</v>
      </c>
      <c r="K152">
        <v>3</v>
      </c>
      <c r="L152">
        <v>1</v>
      </c>
    </row>
    <row r="153" spans="1:12" x14ac:dyDescent="0.2">
      <c r="A153">
        <v>152</v>
      </c>
      <c r="B153" t="s">
        <v>17</v>
      </c>
      <c r="C153" t="s">
        <v>510</v>
      </c>
      <c r="D153" t="s">
        <v>186</v>
      </c>
      <c r="E153">
        <v>19240208302</v>
      </c>
      <c r="F153" t="s">
        <v>36</v>
      </c>
      <c r="G153" t="s">
        <v>520</v>
      </c>
      <c r="H153" t="s">
        <v>519</v>
      </c>
      <c r="I153" t="s">
        <v>520</v>
      </c>
      <c r="J153" t="s">
        <v>519</v>
      </c>
      <c r="K153">
        <v>6</v>
      </c>
      <c r="L153">
        <v>6</v>
      </c>
    </row>
    <row r="154" spans="1:12" x14ac:dyDescent="0.2">
      <c r="A154">
        <v>153</v>
      </c>
      <c r="B154" t="s">
        <v>17</v>
      </c>
      <c r="C154" t="s">
        <v>510</v>
      </c>
      <c r="D154" t="s">
        <v>187</v>
      </c>
      <c r="E154">
        <v>19240201701</v>
      </c>
      <c r="F154" t="s">
        <v>36</v>
      </c>
      <c r="G154" t="s">
        <v>520</v>
      </c>
      <c r="H154" t="s">
        <v>520</v>
      </c>
      <c r="I154" t="s">
        <v>520</v>
      </c>
      <c r="J154" t="s">
        <v>519</v>
      </c>
      <c r="K154">
        <v>1</v>
      </c>
      <c r="L154">
        <v>1</v>
      </c>
    </row>
    <row r="155" spans="1:12" x14ac:dyDescent="0.2">
      <c r="A155">
        <v>154</v>
      </c>
      <c r="B155" t="s">
        <v>17</v>
      </c>
      <c r="C155" t="s">
        <v>510</v>
      </c>
      <c r="D155" t="s">
        <v>188</v>
      </c>
      <c r="E155">
        <v>19240204904</v>
      </c>
      <c r="F155" t="s">
        <v>36</v>
      </c>
      <c r="G155" t="s">
        <v>520</v>
      </c>
      <c r="H155" t="s">
        <v>520</v>
      </c>
      <c r="I155" t="s">
        <v>520</v>
      </c>
      <c r="J155" t="s">
        <v>519</v>
      </c>
      <c r="K155">
        <v>3</v>
      </c>
      <c r="L155">
        <v>1</v>
      </c>
    </row>
    <row r="156" spans="1:12" x14ac:dyDescent="0.2">
      <c r="A156">
        <v>155</v>
      </c>
      <c r="B156" t="s">
        <v>17</v>
      </c>
      <c r="C156" t="s">
        <v>510</v>
      </c>
      <c r="D156" t="s">
        <v>189</v>
      </c>
      <c r="E156">
        <v>19240203403</v>
      </c>
      <c r="F156" t="s">
        <v>35</v>
      </c>
      <c r="G156" t="s">
        <v>520</v>
      </c>
      <c r="H156" t="s">
        <v>520</v>
      </c>
      <c r="I156" t="s">
        <v>520</v>
      </c>
      <c r="J156" t="s">
        <v>519</v>
      </c>
      <c r="K156">
        <v>3</v>
      </c>
      <c r="L156">
        <v>1</v>
      </c>
    </row>
    <row r="157" spans="1:12" x14ac:dyDescent="0.2">
      <c r="A157">
        <v>156</v>
      </c>
      <c r="B157" t="s">
        <v>17</v>
      </c>
      <c r="C157" t="s">
        <v>512</v>
      </c>
      <c r="D157" t="s">
        <v>190</v>
      </c>
      <c r="E157">
        <v>19240304802</v>
      </c>
      <c r="F157" t="s">
        <v>36</v>
      </c>
      <c r="G157" t="s">
        <v>520</v>
      </c>
      <c r="H157" t="s">
        <v>520</v>
      </c>
      <c r="I157" t="s">
        <v>520</v>
      </c>
      <c r="J157" t="s">
        <v>519</v>
      </c>
      <c r="K157">
        <v>4</v>
      </c>
      <c r="L157">
        <v>2</v>
      </c>
    </row>
    <row r="158" spans="1:12" x14ac:dyDescent="0.2">
      <c r="A158">
        <v>157</v>
      </c>
      <c r="B158" t="s">
        <v>17</v>
      </c>
      <c r="C158" t="s">
        <v>510</v>
      </c>
      <c r="D158" t="s">
        <v>191</v>
      </c>
      <c r="E158">
        <v>19240206401</v>
      </c>
      <c r="F158" t="s">
        <v>37</v>
      </c>
      <c r="G158" t="s">
        <v>520</v>
      </c>
      <c r="H158" t="s">
        <v>520</v>
      </c>
      <c r="I158" t="s">
        <v>520</v>
      </c>
      <c r="J158" t="s">
        <v>519</v>
      </c>
      <c r="K158">
        <v>3</v>
      </c>
      <c r="L158">
        <v>1</v>
      </c>
    </row>
    <row r="159" spans="1:12" x14ac:dyDescent="0.2">
      <c r="A159">
        <v>158</v>
      </c>
      <c r="B159" t="s">
        <v>17</v>
      </c>
      <c r="C159" t="s">
        <v>510</v>
      </c>
      <c r="D159" t="s">
        <v>192</v>
      </c>
      <c r="E159">
        <v>19240201901</v>
      </c>
      <c r="F159" t="s">
        <v>35</v>
      </c>
      <c r="G159" t="s">
        <v>520</v>
      </c>
      <c r="H159" t="s">
        <v>520</v>
      </c>
      <c r="I159" t="s">
        <v>520</v>
      </c>
      <c r="J159" t="s">
        <v>519</v>
      </c>
      <c r="K159">
        <v>3</v>
      </c>
      <c r="L159">
        <v>1</v>
      </c>
    </row>
    <row r="160" spans="1:12" x14ac:dyDescent="0.2">
      <c r="A160">
        <v>159</v>
      </c>
      <c r="B160" t="s">
        <v>17</v>
      </c>
      <c r="C160" t="s">
        <v>510</v>
      </c>
      <c r="D160" t="s">
        <v>193</v>
      </c>
      <c r="E160">
        <v>19240202503</v>
      </c>
      <c r="F160" t="s">
        <v>37</v>
      </c>
      <c r="G160" t="s">
        <v>519</v>
      </c>
      <c r="H160" t="s">
        <v>520</v>
      </c>
      <c r="I160" t="s">
        <v>520</v>
      </c>
      <c r="J160" t="s">
        <v>519</v>
      </c>
      <c r="K160">
        <v>1</v>
      </c>
      <c r="L160">
        <v>1</v>
      </c>
    </row>
    <row r="161" spans="1:12" x14ac:dyDescent="0.2">
      <c r="A161">
        <v>160</v>
      </c>
      <c r="B161" t="s">
        <v>17</v>
      </c>
      <c r="C161" t="s">
        <v>510</v>
      </c>
      <c r="D161" t="s">
        <v>194</v>
      </c>
      <c r="E161">
        <v>19240206702</v>
      </c>
      <c r="F161" t="s">
        <v>36</v>
      </c>
      <c r="G161" t="s">
        <v>519</v>
      </c>
      <c r="H161" t="s">
        <v>520</v>
      </c>
      <c r="I161" t="s">
        <v>520</v>
      </c>
      <c r="J161" t="s">
        <v>519</v>
      </c>
      <c r="K161">
        <v>1</v>
      </c>
      <c r="L161">
        <v>1</v>
      </c>
    </row>
    <row r="162" spans="1:12" x14ac:dyDescent="0.2">
      <c r="A162">
        <v>161</v>
      </c>
      <c r="B162" t="s">
        <v>17</v>
      </c>
      <c r="C162" t="s">
        <v>510</v>
      </c>
      <c r="D162" t="s">
        <v>195</v>
      </c>
      <c r="E162">
        <v>19240203101</v>
      </c>
      <c r="F162" t="s">
        <v>35</v>
      </c>
      <c r="G162" t="s">
        <v>520</v>
      </c>
      <c r="H162" t="s">
        <v>520</v>
      </c>
      <c r="I162" t="s">
        <v>520</v>
      </c>
      <c r="J162" t="s">
        <v>519</v>
      </c>
      <c r="K162">
        <v>3</v>
      </c>
      <c r="L162">
        <v>1</v>
      </c>
    </row>
    <row r="163" spans="1:12" x14ac:dyDescent="0.2">
      <c r="A163">
        <v>162</v>
      </c>
      <c r="B163" t="s">
        <v>17</v>
      </c>
      <c r="C163" t="s">
        <v>510</v>
      </c>
      <c r="D163" t="s">
        <v>196</v>
      </c>
      <c r="E163">
        <v>19240202201</v>
      </c>
      <c r="F163" t="s">
        <v>36</v>
      </c>
      <c r="G163" t="s">
        <v>519</v>
      </c>
      <c r="H163" t="s">
        <v>520</v>
      </c>
      <c r="I163" t="s">
        <v>520</v>
      </c>
      <c r="J163" t="s">
        <v>519</v>
      </c>
      <c r="K163">
        <v>1</v>
      </c>
      <c r="L163">
        <v>1</v>
      </c>
    </row>
    <row r="164" spans="1:12" x14ac:dyDescent="0.2">
      <c r="A164">
        <v>163</v>
      </c>
      <c r="B164" t="s">
        <v>17</v>
      </c>
      <c r="C164" t="s">
        <v>510</v>
      </c>
      <c r="D164" t="s">
        <v>197</v>
      </c>
      <c r="E164">
        <v>19240204801</v>
      </c>
      <c r="F164" t="s">
        <v>36</v>
      </c>
      <c r="G164" t="s">
        <v>520</v>
      </c>
      <c r="H164" t="s">
        <v>519</v>
      </c>
      <c r="I164" t="s">
        <v>520</v>
      </c>
      <c r="J164" t="s">
        <v>519</v>
      </c>
      <c r="K164">
        <v>1</v>
      </c>
      <c r="L164">
        <v>1</v>
      </c>
    </row>
    <row r="165" spans="1:12" x14ac:dyDescent="0.2">
      <c r="A165">
        <v>164</v>
      </c>
      <c r="B165" t="s">
        <v>17</v>
      </c>
      <c r="C165" t="s">
        <v>510</v>
      </c>
      <c r="D165" t="s">
        <v>198</v>
      </c>
      <c r="E165">
        <v>19240202101</v>
      </c>
      <c r="F165" t="s">
        <v>36</v>
      </c>
      <c r="G165" t="s">
        <v>520</v>
      </c>
      <c r="H165" t="s">
        <v>519</v>
      </c>
      <c r="I165" t="s">
        <v>520</v>
      </c>
      <c r="J165" t="s">
        <v>519</v>
      </c>
      <c r="K165">
        <v>1</v>
      </c>
      <c r="L165">
        <v>1</v>
      </c>
    </row>
    <row r="166" spans="1:12" x14ac:dyDescent="0.2">
      <c r="A166">
        <v>165</v>
      </c>
      <c r="B166" t="s">
        <v>17</v>
      </c>
      <c r="C166" t="s">
        <v>512</v>
      </c>
      <c r="D166" t="s">
        <v>199</v>
      </c>
      <c r="E166">
        <v>19240303902</v>
      </c>
      <c r="F166" t="s">
        <v>35</v>
      </c>
      <c r="G166" t="s">
        <v>519</v>
      </c>
      <c r="H166" t="s">
        <v>520</v>
      </c>
      <c r="I166" t="s">
        <v>520</v>
      </c>
      <c r="J166" t="s">
        <v>519</v>
      </c>
      <c r="K166">
        <v>3</v>
      </c>
      <c r="L166">
        <v>1</v>
      </c>
    </row>
    <row r="167" spans="1:12" x14ac:dyDescent="0.2">
      <c r="A167">
        <v>166</v>
      </c>
      <c r="B167" t="s">
        <v>17</v>
      </c>
      <c r="C167" t="s">
        <v>510</v>
      </c>
      <c r="D167" t="s">
        <v>200</v>
      </c>
      <c r="E167">
        <v>19240204901</v>
      </c>
      <c r="F167" t="s">
        <v>36</v>
      </c>
      <c r="G167" t="s">
        <v>520</v>
      </c>
      <c r="H167" t="s">
        <v>520</v>
      </c>
      <c r="I167" t="s">
        <v>520</v>
      </c>
      <c r="J167" t="s">
        <v>519</v>
      </c>
      <c r="K167">
        <v>3</v>
      </c>
      <c r="L167">
        <v>1</v>
      </c>
    </row>
    <row r="168" spans="1:12" x14ac:dyDescent="0.2">
      <c r="A168">
        <v>167</v>
      </c>
      <c r="B168" t="s">
        <v>17</v>
      </c>
      <c r="C168" t="s">
        <v>510</v>
      </c>
      <c r="D168" t="s">
        <v>201</v>
      </c>
      <c r="E168">
        <v>19240204603</v>
      </c>
      <c r="F168" t="s">
        <v>37</v>
      </c>
      <c r="G168" t="s">
        <v>520</v>
      </c>
      <c r="H168" t="s">
        <v>520</v>
      </c>
      <c r="I168" t="s">
        <v>520</v>
      </c>
      <c r="J168" t="s">
        <v>519</v>
      </c>
      <c r="K168">
        <v>3</v>
      </c>
      <c r="L168">
        <v>1</v>
      </c>
    </row>
    <row r="169" spans="1:12" x14ac:dyDescent="0.2">
      <c r="A169">
        <v>168</v>
      </c>
      <c r="B169" t="s">
        <v>17</v>
      </c>
      <c r="C169" t="s">
        <v>510</v>
      </c>
      <c r="D169" t="s">
        <v>202</v>
      </c>
      <c r="E169">
        <v>19240203801</v>
      </c>
      <c r="F169" t="s">
        <v>35</v>
      </c>
      <c r="G169" t="s">
        <v>520</v>
      </c>
      <c r="H169" t="s">
        <v>519</v>
      </c>
      <c r="I169" t="s">
        <v>520</v>
      </c>
      <c r="J169" t="s">
        <v>519</v>
      </c>
      <c r="K169">
        <v>1</v>
      </c>
      <c r="L169">
        <v>1</v>
      </c>
    </row>
    <row r="170" spans="1:12" x14ac:dyDescent="0.2">
      <c r="A170">
        <v>169</v>
      </c>
      <c r="B170" t="s">
        <v>17</v>
      </c>
      <c r="C170" t="s">
        <v>510</v>
      </c>
      <c r="D170" t="s">
        <v>203</v>
      </c>
      <c r="E170">
        <v>19240207501</v>
      </c>
      <c r="F170" t="s">
        <v>37</v>
      </c>
      <c r="G170" t="s">
        <v>519</v>
      </c>
      <c r="H170" t="s">
        <v>519</v>
      </c>
      <c r="I170" t="s">
        <v>520</v>
      </c>
      <c r="J170" t="s">
        <v>519</v>
      </c>
      <c r="K170">
        <v>1</v>
      </c>
      <c r="L170">
        <v>1</v>
      </c>
    </row>
    <row r="171" spans="1:12" x14ac:dyDescent="0.2">
      <c r="A171">
        <v>170</v>
      </c>
      <c r="B171" t="s">
        <v>17</v>
      </c>
      <c r="C171" t="s">
        <v>510</v>
      </c>
      <c r="D171" t="s">
        <v>204</v>
      </c>
      <c r="E171">
        <v>19240208301</v>
      </c>
      <c r="F171" t="s">
        <v>36</v>
      </c>
      <c r="G171" t="s">
        <v>520</v>
      </c>
      <c r="H171" t="s">
        <v>520</v>
      </c>
      <c r="I171" t="s">
        <v>520</v>
      </c>
      <c r="J171" t="s">
        <v>519</v>
      </c>
      <c r="K171">
        <v>3</v>
      </c>
      <c r="L171">
        <v>1</v>
      </c>
    </row>
    <row r="172" spans="1:12" x14ac:dyDescent="0.2">
      <c r="A172">
        <v>171</v>
      </c>
      <c r="B172" t="s">
        <v>17</v>
      </c>
      <c r="C172" t="s">
        <v>510</v>
      </c>
      <c r="D172" t="s">
        <v>205</v>
      </c>
      <c r="E172">
        <v>19240200703</v>
      </c>
      <c r="F172" t="s">
        <v>35</v>
      </c>
      <c r="G172" t="s">
        <v>520</v>
      </c>
      <c r="H172" t="s">
        <v>519</v>
      </c>
      <c r="I172" t="s">
        <v>520</v>
      </c>
      <c r="J172" t="s">
        <v>519</v>
      </c>
      <c r="K172">
        <v>1</v>
      </c>
      <c r="L172">
        <v>1</v>
      </c>
    </row>
    <row r="173" spans="1:12" x14ac:dyDescent="0.2">
      <c r="A173">
        <v>172</v>
      </c>
      <c r="B173" t="s">
        <v>17</v>
      </c>
      <c r="C173" t="s">
        <v>510</v>
      </c>
      <c r="D173" t="s">
        <v>206</v>
      </c>
      <c r="E173">
        <v>19240201904</v>
      </c>
      <c r="F173" t="s">
        <v>36</v>
      </c>
      <c r="G173" t="s">
        <v>520</v>
      </c>
      <c r="H173" t="s">
        <v>519</v>
      </c>
      <c r="I173" t="s">
        <v>520</v>
      </c>
      <c r="J173" t="s">
        <v>519</v>
      </c>
      <c r="K173">
        <v>1</v>
      </c>
      <c r="L173">
        <v>1</v>
      </c>
    </row>
    <row r="174" spans="1:12" x14ac:dyDescent="0.2">
      <c r="A174">
        <v>173</v>
      </c>
      <c r="B174" t="s">
        <v>17</v>
      </c>
      <c r="C174" t="s">
        <v>510</v>
      </c>
      <c r="D174" t="s">
        <v>207</v>
      </c>
      <c r="E174">
        <v>19240200102</v>
      </c>
      <c r="F174" t="s">
        <v>36</v>
      </c>
      <c r="G174" t="s">
        <v>519</v>
      </c>
      <c r="H174" t="s">
        <v>520</v>
      </c>
      <c r="I174" t="s">
        <v>520</v>
      </c>
      <c r="J174" t="s">
        <v>519</v>
      </c>
      <c r="K174">
        <v>1</v>
      </c>
      <c r="L174">
        <v>1</v>
      </c>
    </row>
    <row r="175" spans="1:12" x14ac:dyDescent="0.2">
      <c r="A175">
        <v>174</v>
      </c>
      <c r="B175" t="s">
        <v>17</v>
      </c>
      <c r="C175" t="s">
        <v>510</v>
      </c>
      <c r="D175" t="s">
        <v>208</v>
      </c>
      <c r="E175">
        <v>19240203201</v>
      </c>
      <c r="F175" t="s">
        <v>36</v>
      </c>
      <c r="G175" t="s">
        <v>519</v>
      </c>
      <c r="H175" t="s">
        <v>520</v>
      </c>
      <c r="I175" t="s">
        <v>520</v>
      </c>
      <c r="J175" t="s">
        <v>519</v>
      </c>
      <c r="K175">
        <v>1</v>
      </c>
      <c r="L175">
        <v>2</v>
      </c>
    </row>
    <row r="176" spans="1:12" x14ac:dyDescent="0.2">
      <c r="A176">
        <v>175</v>
      </c>
      <c r="B176" t="s">
        <v>17</v>
      </c>
      <c r="C176" t="s">
        <v>510</v>
      </c>
      <c r="D176" t="s">
        <v>209</v>
      </c>
      <c r="E176">
        <v>19240200702</v>
      </c>
      <c r="F176" t="s">
        <v>35</v>
      </c>
      <c r="G176" t="s">
        <v>519</v>
      </c>
      <c r="H176" t="s">
        <v>519</v>
      </c>
      <c r="I176" t="s">
        <v>520</v>
      </c>
      <c r="J176" t="s">
        <v>519</v>
      </c>
      <c r="K176">
        <v>6</v>
      </c>
      <c r="L176">
        <v>5</v>
      </c>
    </row>
    <row r="177" spans="1:12" x14ac:dyDescent="0.2">
      <c r="A177">
        <v>176</v>
      </c>
      <c r="B177" t="s">
        <v>17</v>
      </c>
      <c r="C177" t="s">
        <v>510</v>
      </c>
      <c r="D177" t="s">
        <v>210</v>
      </c>
      <c r="E177">
        <v>19240200704</v>
      </c>
      <c r="F177" t="s">
        <v>36</v>
      </c>
      <c r="G177" t="s">
        <v>519</v>
      </c>
      <c r="H177" t="s">
        <v>520</v>
      </c>
      <c r="I177" t="s">
        <v>520</v>
      </c>
      <c r="J177" t="s">
        <v>519</v>
      </c>
      <c r="K177">
        <v>1</v>
      </c>
      <c r="L177">
        <v>1</v>
      </c>
    </row>
    <row r="178" spans="1:12" x14ac:dyDescent="0.2">
      <c r="A178">
        <v>177</v>
      </c>
      <c r="B178" t="s">
        <v>17</v>
      </c>
      <c r="C178" t="s">
        <v>510</v>
      </c>
      <c r="D178" t="s">
        <v>211</v>
      </c>
      <c r="E178">
        <v>19240201903</v>
      </c>
      <c r="F178" t="s">
        <v>37</v>
      </c>
      <c r="G178" t="s">
        <v>519</v>
      </c>
      <c r="H178" t="s">
        <v>519</v>
      </c>
      <c r="I178" t="s">
        <v>520</v>
      </c>
      <c r="J178" t="s">
        <v>519</v>
      </c>
      <c r="K178">
        <v>1</v>
      </c>
      <c r="L178">
        <v>1</v>
      </c>
    </row>
    <row r="179" spans="1:12" x14ac:dyDescent="0.2">
      <c r="A179">
        <v>178</v>
      </c>
      <c r="B179" t="s">
        <v>17</v>
      </c>
      <c r="C179" t="s">
        <v>510</v>
      </c>
      <c r="D179" t="s">
        <v>212</v>
      </c>
      <c r="E179">
        <v>19240202304</v>
      </c>
      <c r="F179" t="s">
        <v>35</v>
      </c>
      <c r="G179" t="s">
        <v>519</v>
      </c>
      <c r="H179" t="s">
        <v>520</v>
      </c>
      <c r="I179" t="s">
        <v>520</v>
      </c>
      <c r="J179" t="s">
        <v>519</v>
      </c>
      <c r="K179">
        <v>1</v>
      </c>
      <c r="L179">
        <v>1</v>
      </c>
    </row>
    <row r="180" spans="1:12" x14ac:dyDescent="0.2">
      <c r="A180">
        <v>179</v>
      </c>
      <c r="B180" t="s">
        <v>17</v>
      </c>
      <c r="C180" t="s">
        <v>510</v>
      </c>
      <c r="D180" t="s">
        <v>213</v>
      </c>
      <c r="E180">
        <v>19240202303</v>
      </c>
      <c r="F180" t="s">
        <v>37</v>
      </c>
      <c r="G180" t="s">
        <v>519</v>
      </c>
      <c r="H180" t="s">
        <v>520</v>
      </c>
      <c r="I180" t="s">
        <v>520</v>
      </c>
      <c r="J180" t="s">
        <v>519</v>
      </c>
      <c r="K180">
        <v>1</v>
      </c>
      <c r="L180">
        <v>1</v>
      </c>
    </row>
    <row r="181" spans="1:12" x14ac:dyDescent="0.2">
      <c r="A181">
        <v>180</v>
      </c>
      <c r="B181" t="s">
        <v>17</v>
      </c>
      <c r="C181" t="s">
        <v>510</v>
      </c>
      <c r="D181" t="s">
        <v>214</v>
      </c>
      <c r="E181">
        <v>19240208201</v>
      </c>
      <c r="F181" t="s">
        <v>36</v>
      </c>
      <c r="G181" t="s">
        <v>519</v>
      </c>
      <c r="H181" t="s">
        <v>520</v>
      </c>
      <c r="I181" t="s">
        <v>520</v>
      </c>
      <c r="J181" t="s">
        <v>519</v>
      </c>
      <c r="K181">
        <v>1</v>
      </c>
      <c r="L181">
        <v>1</v>
      </c>
    </row>
    <row r="182" spans="1:12" x14ac:dyDescent="0.2">
      <c r="A182">
        <v>181</v>
      </c>
      <c r="B182" t="s">
        <v>17</v>
      </c>
      <c r="C182" t="s">
        <v>510</v>
      </c>
      <c r="D182" t="s">
        <v>215</v>
      </c>
      <c r="E182">
        <v>19240202804</v>
      </c>
      <c r="F182" t="s">
        <v>35</v>
      </c>
      <c r="G182" t="s">
        <v>519</v>
      </c>
      <c r="H182" t="s">
        <v>520</v>
      </c>
      <c r="I182" t="s">
        <v>519</v>
      </c>
      <c r="J182" t="s">
        <v>519</v>
      </c>
      <c r="K182">
        <v>1</v>
      </c>
      <c r="L182">
        <v>1</v>
      </c>
    </row>
    <row r="183" spans="1:12" x14ac:dyDescent="0.2">
      <c r="A183">
        <v>182</v>
      </c>
      <c r="B183" t="s">
        <v>17</v>
      </c>
      <c r="C183" t="s">
        <v>510</v>
      </c>
      <c r="D183" t="s">
        <v>216</v>
      </c>
      <c r="E183">
        <v>19240201201</v>
      </c>
      <c r="F183" t="s">
        <v>36</v>
      </c>
      <c r="G183" t="s">
        <v>519</v>
      </c>
      <c r="H183" t="s">
        <v>519</v>
      </c>
      <c r="I183" t="s">
        <v>520</v>
      </c>
      <c r="J183" t="s">
        <v>519</v>
      </c>
      <c r="K183">
        <v>1</v>
      </c>
      <c r="L183">
        <v>1</v>
      </c>
    </row>
    <row r="184" spans="1:12" x14ac:dyDescent="0.2">
      <c r="A184">
        <v>183</v>
      </c>
      <c r="B184" t="s">
        <v>17</v>
      </c>
      <c r="C184" t="s">
        <v>512</v>
      </c>
      <c r="D184" t="s">
        <v>217</v>
      </c>
      <c r="E184">
        <v>19240303702</v>
      </c>
      <c r="F184" t="s">
        <v>36</v>
      </c>
      <c r="G184" t="s">
        <v>519</v>
      </c>
      <c r="H184" t="s">
        <v>520</v>
      </c>
      <c r="I184" t="s">
        <v>520</v>
      </c>
      <c r="J184" t="s">
        <v>519</v>
      </c>
      <c r="K184">
        <v>1</v>
      </c>
      <c r="L184">
        <v>1</v>
      </c>
    </row>
    <row r="185" spans="1:12" x14ac:dyDescent="0.2">
      <c r="A185">
        <v>184</v>
      </c>
      <c r="B185" t="s">
        <v>17</v>
      </c>
      <c r="C185" t="s">
        <v>510</v>
      </c>
      <c r="D185" t="s">
        <v>218</v>
      </c>
      <c r="E185">
        <v>19240203301</v>
      </c>
      <c r="F185" t="s">
        <v>36</v>
      </c>
      <c r="G185" t="s">
        <v>520</v>
      </c>
      <c r="H185" t="s">
        <v>520</v>
      </c>
      <c r="I185" t="s">
        <v>520</v>
      </c>
      <c r="J185" t="s">
        <v>519</v>
      </c>
      <c r="K185">
        <v>2</v>
      </c>
      <c r="L185">
        <v>1</v>
      </c>
    </row>
    <row r="186" spans="1:12" x14ac:dyDescent="0.2">
      <c r="A186">
        <v>185</v>
      </c>
      <c r="B186" t="s">
        <v>17</v>
      </c>
      <c r="C186" t="s">
        <v>512</v>
      </c>
      <c r="D186" t="s">
        <v>219</v>
      </c>
      <c r="E186">
        <v>19240302902</v>
      </c>
      <c r="F186" t="s">
        <v>35</v>
      </c>
      <c r="G186" t="s">
        <v>520</v>
      </c>
      <c r="H186" t="s">
        <v>519</v>
      </c>
      <c r="I186" t="s">
        <v>520</v>
      </c>
      <c r="J186" t="s">
        <v>519</v>
      </c>
      <c r="K186">
        <v>1</v>
      </c>
      <c r="L186">
        <v>1</v>
      </c>
    </row>
    <row r="187" spans="1:12" x14ac:dyDescent="0.2">
      <c r="A187">
        <v>186</v>
      </c>
      <c r="B187" t="s">
        <v>17</v>
      </c>
      <c r="C187" t="s">
        <v>510</v>
      </c>
      <c r="D187" t="s">
        <v>220</v>
      </c>
      <c r="E187">
        <v>19240202803</v>
      </c>
      <c r="F187" t="s">
        <v>36</v>
      </c>
      <c r="G187" t="s">
        <v>519</v>
      </c>
      <c r="H187" t="s">
        <v>520</v>
      </c>
      <c r="I187" t="s">
        <v>520</v>
      </c>
      <c r="J187" t="s">
        <v>519</v>
      </c>
      <c r="K187">
        <v>3</v>
      </c>
      <c r="L187">
        <v>1</v>
      </c>
    </row>
    <row r="188" spans="1:12" x14ac:dyDescent="0.2">
      <c r="A188">
        <v>187</v>
      </c>
      <c r="B188" t="s">
        <v>17</v>
      </c>
      <c r="C188" t="s">
        <v>510</v>
      </c>
      <c r="D188" t="s">
        <v>221</v>
      </c>
      <c r="E188">
        <v>19240203601</v>
      </c>
      <c r="F188" t="s">
        <v>37</v>
      </c>
      <c r="G188" t="s">
        <v>520</v>
      </c>
      <c r="H188" t="s">
        <v>520</v>
      </c>
      <c r="I188" t="s">
        <v>520</v>
      </c>
      <c r="J188" t="s">
        <v>519</v>
      </c>
      <c r="K188">
        <v>1</v>
      </c>
      <c r="L188">
        <v>1</v>
      </c>
    </row>
    <row r="189" spans="1:12" x14ac:dyDescent="0.2">
      <c r="A189">
        <v>188</v>
      </c>
      <c r="B189" t="s">
        <v>17</v>
      </c>
      <c r="C189" t="s">
        <v>510</v>
      </c>
      <c r="D189" t="s">
        <v>222</v>
      </c>
      <c r="E189">
        <v>19240205701</v>
      </c>
      <c r="F189" t="s">
        <v>35</v>
      </c>
      <c r="G189" t="s">
        <v>520</v>
      </c>
      <c r="H189" t="s">
        <v>519</v>
      </c>
      <c r="I189" t="s">
        <v>520</v>
      </c>
      <c r="J189" t="s">
        <v>519</v>
      </c>
      <c r="K189">
        <v>3</v>
      </c>
      <c r="L189">
        <v>1</v>
      </c>
    </row>
    <row r="190" spans="1:12" x14ac:dyDescent="0.2">
      <c r="A190">
        <v>189</v>
      </c>
      <c r="B190" t="s">
        <v>17</v>
      </c>
      <c r="C190" t="s">
        <v>510</v>
      </c>
      <c r="D190" t="s">
        <v>223</v>
      </c>
      <c r="E190">
        <v>19240205209</v>
      </c>
      <c r="F190" t="s">
        <v>37</v>
      </c>
      <c r="G190" t="s">
        <v>519</v>
      </c>
      <c r="H190" t="s">
        <v>520</v>
      </c>
      <c r="I190" t="s">
        <v>520</v>
      </c>
      <c r="J190" t="s">
        <v>519</v>
      </c>
      <c r="K190">
        <v>1</v>
      </c>
      <c r="L190">
        <v>1</v>
      </c>
    </row>
    <row r="191" spans="1:12" x14ac:dyDescent="0.2">
      <c r="A191">
        <v>190</v>
      </c>
      <c r="B191" t="s">
        <v>17</v>
      </c>
      <c r="C191" t="s">
        <v>510</v>
      </c>
      <c r="D191" t="s">
        <v>224</v>
      </c>
      <c r="E191">
        <v>19240205207</v>
      </c>
      <c r="F191" t="s">
        <v>36</v>
      </c>
      <c r="G191" t="s">
        <v>520</v>
      </c>
      <c r="H191" t="s">
        <v>520</v>
      </c>
      <c r="I191" t="s">
        <v>520</v>
      </c>
      <c r="J191" t="s">
        <v>519</v>
      </c>
      <c r="K191">
        <v>1</v>
      </c>
      <c r="L191">
        <v>1</v>
      </c>
    </row>
    <row r="192" spans="1:12" x14ac:dyDescent="0.2">
      <c r="A192">
        <v>191</v>
      </c>
      <c r="B192" t="s">
        <v>17</v>
      </c>
      <c r="C192" t="s">
        <v>510</v>
      </c>
      <c r="D192" t="s">
        <v>225</v>
      </c>
      <c r="E192">
        <v>19240205202</v>
      </c>
      <c r="F192" t="s">
        <v>35</v>
      </c>
      <c r="G192" t="s">
        <v>520</v>
      </c>
      <c r="H192" t="s">
        <v>520</v>
      </c>
      <c r="I192" t="s">
        <v>520</v>
      </c>
      <c r="J192" t="s">
        <v>519</v>
      </c>
      <c r="K192">
        <v>2</v>
      </c>
      <c r="L192">
        <v>2</v>
      </c>
    </row>
    <row r="193" spans="1:12" x14ac:dyDescent="0.2">
      <c r="A193">
        <v>192</v>
      </c>
      <c r="B193" t="s">
        <v>17</v>
      </c>
      <c r="C193" t="s">
        <v>510</v>
      </c>
      <c r="D193" t="s">
        <v>226</v>
      </c>
      <c r="E193">
        <v>19240207803</v>
      </c>
      <c r="F193" t="s">
        <v>36</v>
      </c>
      <c r="G193" t="s">
        <v>520</v>
      </c>
      <c r="H193" t="s">
        <v>519</v>
      </c>
      <c r="I193" t="s">
        <v>520</v>
      </c>
      <c r="J193" t="s">
        <v>519</v>
      </c>
      <c r="K193">
        <v>3</v>
      </c>
      <c r="L193">
        <v>1</v>
      </c>
    </row>
    <row r="194" spans="1:12" x14ac:dyDescent="0.2">
      <c r="A194">
        <v>193</v>
      </c>
      <c r="B194" t="s">
        <v>17</v>
      </c>
      <c r="C194" t="s">
        <v>510</v>
      </c>
      <c r="D194" t="s">
        <v>227</v>
      </c>
      <c r="E194">
        <v>19240200803</v>
      </c>
      <c r="F194" t="s">
        <v>36</v>
      </c>
      <c r="G194" t="s">
        <v>520</v>
      </c>
      <c r="H194" t="s">
        <v>520</v>
      </c>
      <c r="I194" t="s">
        <v>520</v>
      </c>
      <c r="J194" t="s">
        <v>519</v>
      </c>
      <c r="K194">
        <v>3</v>
      </c>
      <c r="L194">
        <v>1</v>
      </c>
    </row>
    <row r="195" spans="1:12" x14ac:dyDescent="0.2">
      <c r="A195">
        <v>194</v>
      </c>
      <c r="B195" t="s">
        <v>17</v>
      </c>
      <c r="C195" t="s">
        <v>510</v>
      </c>
      <c r="D195" t="s">
        <v>228</v>
      </c>
      <c r="E195">
        <v>19240207901</v>
      </c>
      <c r="F195" t="s">
        <v>36</v>
      </c>
      <c r="G195" t="s">
        <v>519</v>
      </c>
      <c r="H195" t="s">
        <v>520</v>
      </c>
      <c r="I195" t="s">
        <v>520</v>
      </c>
      <c r="J195" t="s">
        <v>519</v>
      </c>
      <c r="K195">
        <v>3</v>
      </c>
      <c r="L195">
        <v>1</v>
      </c>
    </row>
    <row r="196" spans="1:12" x14ac:dyDescent="0.2">
      <c r="A196">
        <v>195</v>
      </c>
      <c r="B196" t="s">
        <v>17</v>
      </c>
      <c r="C196" t="s">
        <v>510</v>
      </c>
      <c r="D196" t="s">
        <v>229</v>
      </c>
      <c r="E196">
        <v>19240203402</v>
      </c>
      <c r="F196" t="s">
        <v>35</v>
      </c>
      <c r="G196" t="s">
        <v>519</v>
      </c>
      <c r="H196" t="s">
        <v>520</v>
      </c>
      <c r="I196" t="s">
        <v>520</v>
      </c>
      <c r="J196" t="s">
        <v>519</v>
      </c>
      <c r="K196">
        <v>2</v>
      </c>
      <c r="L196">
        <v>2</v>
      </c>
    </row>
    <row r="197" spans="1:12" x14ac:dyDescent="0.2">
      <c r="A197">
        <v>196</v>
      </c>
      <c r="B197" t="s">
        <v>17</v>
      </c>
      <c r="C197" t="s">
        <v>510</v>
      </c>
      <c r="D197" t="s">
        <v>230</v>
      </c>
      <c r="E197">
        <v>19240204602</v>
      </c>
      <c r="F197" t="s">
        <v>36</v>
      </c>
      <c r="G197" t="s">
        <v>519</v>
      </c>
      <c r="H197" t="s">
        <v>520</v>
      </c>
      <c r="I197" t="s">
        <v>520</v>
      </c>
      <c r="J197" t="s">
        <v>519</v>
      </c>
      <c r="K197">
        <v>1</v>
      </c>
      <c r="L197">
        <v>1</v>
      </c>
    </row>
    <row r="198" spans="1:12" x14ac:dyDescent="0.2">
      <c r="A198">
        <v>197</v>
      </c>
      <c r="B198" t="s">
        <v>17</v>
      </c>
      <c r="C198" t="s">
        <v>510</v>
      </c>
      <c r="D198" t="s">
        <v>231</v>
      </c>
      <c r="E198">
        <v>19240207101</v>
      </c>
      <c r="F198" t="s">
        <v>37</v>
      </c>
      <c r="G198" t="s">
        <v>520</v>
      </c>
      <c r="H198" t="s">
        <v>520</v>
      </c>
      <c r="I198" t="s">
        <v>520</v>
      </c>
      <c r="J198" t="s">
        <v>519</v>
      </c>
      <c r="K198">
        <v>1</v>
      </c>
      <c r="L198">
        <v>1</v>
      </c>
    </row>
    <row r="199" spans="1:12" x14ac:dyDescent="0.2">
      <c r="A199">
        <v>198</v>
      </c>
      <c r="B199" t="s">
        <v>17</v>
      </c>
      <c r="C199" t="s">
        <v>510</v>
      </c>
      <c r="D199" t="s">
        <v>232</v>
      </c>
      <c r="E199">
        <v>19240205401</v>
      </c>
      <c r="F199" t="s">
        <v>35</v>
      </c>
      <c r="G199" t="s">
        <v>520</v>
      </c>
      <c r="H199" t="s">
        <v>519</v>
      </c>
      <c r="I199" t="s">
        <v>520</v>
      </c>
      <c r="J199" t="s">
        <v>519</v>
      </c>
      <c r="K199">
        <v>1</v>
      </c>
      <c r="L199">
        <v>1</v>
      </c>
    </row>
    <row r="200" spans="1:12" x14ac:dyDescent="0.2">
      <c r="A200">
        <v>199</v>
      </c>
      <c r="B200" t="s">
        <v>17</v>
      </c>
      <c r="C200" t="s">
        <v>510</v>
      </c>
      <c r="D200" t="s">
        <v>233</v>
      </c>
      <c r="E200">
        <v>19240205501</v>
      </c>
      <c r="F200" t="s">
        <v>37</v>
      </c>
      <c r="G200" t="s">
        <v>520</v>
      </c>
      <c r="H200" t="s">
        <v>520</v>
      </c>
      <c r="I200" t="s">
        <v>520</v>
      </c>
      <c r="J200" t="s">
        <v>519</v>
      </c>
      <c r="K200">
        <v>1</v>
      </c>
      <c r="L200">
        <v>1</v>
      </c>
    </row>
    <row r="201" spans="1:12" x14ac:dyDescent="0.2">
      <c r="A201">
        <v>200</v>
      </c>
      <c r="B201" t="s">
        <v>17</v>
      </c>
      <c r="C201" t="s">
        <v>510</v>
      </c>
      <c r="D201" t="s">
        <v>234</v>
      </c>
      <c r="E201">
        <v>19240203501</v>
      </c>
      <c r="F201" t="s">
        <v>36</v>
      </c>
      <c r="G201" t="s">
        <v>520</v>
      </c>
      <c r="H201" t="s">
        <v>519</v>
      </c>
      <c r="I201" t="s">
        <v>520</v>
      </c>
      <c r="J201" t="s">
        <v>519</v>
      </c>
      <c r="K201">
        <v>3</v>
      </c>
      <c r="L201">
        <v>3</v>
      </c>
    </row>
    <row r="202" spans="1:12" x14ac:dyDescent="0.2">
      <c r="A202">
        <v>201</v>
      </c>
      <c r="B202" t="s">
        <v>17</v>
      </c>
      <c r="C202" t="s">
        <v>510</v>
      </c>
      <c r="D202" t="s">
        <v>235</v>
      </c>
      <c r="E202">
        <v>19240200705</v>
      </c>
      <c r="F202" t="s">
        <v>35</v>
      </c>
      <c r="G202" t="s">
        <v>519</v>
      </c>
      <c r="H202" t="s">
        <v>520</v>
      </c>
      <c r="I202" t="s">
        <v>520</v>
      </c>
      <c r="J202" t="s">
        <v>519</v>
      </c>
      <c r="K202">
        <v>1</v>
      </c>
      <c r="L202">
        <v>1</v>
      </c>
    </row>
    <row r="203" spans="1:12" x14ac:dyDescent="0.2">
      <c r="A203">
        <v>202</v>
      </c>
      <c r="B203" t="s">
        <v>17</v>
      </c>
      <c r="C203" t="s">
        <v>510</v>
      </c>
      <c r="D203" t="s">
        <v>236</v>
      </c>
      <c r="E203">
        <v>19240204701</v>
      </c>
      <c r="F203" t="s">
        <v>36</v>
      </c>
      <c r="G203" t="s">
        <v>520</v>
      </c>
      <c r="H203" t="s">
        <v>520</v>
      </c>
      <c r="I203" t="s">
        <v>520</v>
      </c>
      <c r="J203" t="s">
        <v>519</v>
      </c>
      <c r="K203">
        <v>3</v>
      </c>
      <c r="L203">
        <v>1</v>
      </c>
    </row>
    <row r="204" spans="1:12" x14ac:dyDescent="0.2">
      <c r="A204">
        <v>203</v>
      </c>
      <c r="B204" t="s">
        <v>17</v>
      </c>
      <c r="C204" t="s">
        <v>510</v>
      </c>
      <c r="D204" t="s">
        <v>237</v>
      </c>
      <c r="E204">
        <v>19240204504</v>
      </c>
      <c r="F204" t="s">
        <v>36</v>
      </c>
      <c r="G204" t="s">
        <v>520</v>
      </c>
      <c r="H204" t="s">
        <v>519</v>
      </c>
      <c r="I204" t="s">
        <v>520</v>
      </c>
      <c r="J204" t="s">
        <v>519</v>
      </c>
      <c r="K204">
        <v>1</v>
      </c>
      <c r="L204">
        <v>1</v>
      </c>
    </row>
    <row r="205" spans="1:12" x14ac:dyDescent="0.2">
      <c r="A205">
        <v>204</v>
      </c>
      <c r="B205" t="s">
        <v>17</v>
      </c>
      <c r="C205" t="s">
        <v>510</v>
      </c>
      <c r="D205" t="s">
        <v>238</v>
      </c>
      <c r="E205">
        <v>19240201103</v>
      </c>
      <c r="F205" t="s">
        <v>36</v>
      </c>
      <c r="G205" t="s">
        <v>519</v>
      </c>
      <c r="H205" t="s">
        <v>520</v>
      </c>
      <c r="I205" t="s">
        <v>520</v>
      </c>
      <c r="J205" t="s">
        <v>519</v>
      </c>
      <c r="K205">
        <v>3</v>
      </c>
      <c r="L205">
        <v>1</v>
      </c>
    </row>
    <row r="206" spans="1:12" x14ac:dyDescent="0.2">
      <c r="A206">
        <v>205</v>
      </c>
      <c r="B206" t="s">
        <v>17</v>
      </c>
      <c r="C206" t="s">
        <v>510</v>
      </c>
      <c r="D206" t="s">
        <v>239</v>
      </c>
      <c r="E206">
        <v>19240205601</v>
      </c>
      <c r="F206" t="s">
        <v>35</v>
      </c>
      <c r="G206" t="s">
        <v>519</v>
      </c>
      <c r="H206" t="s">
        <v>520</v>
      </c>
      <c r="I206" t="s">
        <v>520</v>
      </c>
      <c r="J206" t="s">
        <v>519</v>
      </c>
      <c r="K206">
        <v>1</v>
      </c>
      <c r="L206">
        <v>2</v>
      </c>
    </row>
    <row r="207" spans="1:12" x14ac:dyDescent="0.2">
      <c r="A207">
        <v>206</v>
      </c>
      <c r="B207" t="s">
        <v>17</v>
      </c>
      <c r="C207" t="s">
        <v>510</v>
      </c>
      <c r="D207" t="s">
        <v>240</v>
      </c>
      <c r="E207">
        <v>19240202801</v>
      </c>
      <c r="F207" t="s">
        <v>36</v>
      </c>
      <c r="G207" t="s">
        <v>519</v>
      </c>
      <c r="H207" t="s">
        <v>520</v>
      </c>
      <c r="I207" t="s">
        <v>520</v>
      </c>
      <c r="J207" t="s">
        <v>519</v>
      </c>
      <c r="K207">
        <v>1</v>
      </c>
      <c r="L207">
        <v>1</v>
      </c>
    </row>
    <row r="208" spans="1:12" x14ac:dyDescent="0.2">
      <c r="A208">
        <v>207</v>
      </c>
      <c r="B208" t="s">
        <v>17</v>
      </c>
      <c r="C208" t="s">
        <v>510</v>
      </c>
      <c r="D208" t="s">
        <v>241</v>
      </c>
      <c r="E208">
        <v>19240208202</v>
      </c>
      <c r="F208" t="s">
        <v>37</v>
      </c>
      <c r="G208" t="s">
        <v>519</v>
      </c>
      <c r="H208" t="s">
        <v>520</v>
      </c>
      <c r="I208" t="s">
        <v>520</v>
      </c>
      <c r="J208" t="s">
        <v>519</v>
      </c>
      <c r="K208">
        <v>1</v>
      </c>
      <c r="L208">
        <v>1</v>
      </c>
    </row>
    <row r="209" spans="1:12" x14ac:dyDescent="0.2">
      <c r="A209">
        <v>208</v>
      </c>
      <c r="B209" t="s">
        <v>17</v>
      </c>
      <c r="C209" t="s">
        <v>510</v>
      </c>
      <c r="D209" t="s">
        <v>242</v>
      </c>
      <c r="E209">
        <v>19240206801</v>
      </c>
      <c r="F209" t="s">
        <v>35</v>
      </c>
      <c r="G209" t="s">
        <v>519</v>
      </c>
      <c r="H209" t="s">
        <v>520</v>
      </c>
      <c r="I209" t="s">
        <v>520</v>
      </c>
      <c r="J209" t="s">
        <v>519</v>
      </c>
      <c r="K209">
        <v>1</v>
      </c>
      <c r="L209">
        <v>1</v>
      </c>
    </row>
    <row r="210" spans="1:12" x14ac:dyDescent="0.2">
      <c r="A210">
        <v>209</v>
      </c>
      <c r="B210" t="s">
        <v>17</v>
      </c>
      <c r="C210" t="s">
        <v>510</v>
      </c>
      <c r="D210" t="s">
        <v>243</v>
      </c>
      <c r="E210">
        <v>19240206103</v>
      </c>
      <c r="F210" t="s">
        <v>37</v>
      </c>
      <c r="G210" t="s">
        <v>519</v>
      </c>
      <c r="H210" t="s">
        <v>520</v>
      </c>
      <c r="I210" t="s">
        <v>520</v>
      </c>
      <c r="J210" t="s">
        <v>519</v>
      </c>
      <c r="K210">
        <v>0</v>
      </c>
      <c r="L210">
        <v>3</v>
      </c>
    </row>
    <row r="211" spans="1:12" x14ac:dyDescent="0.2">
      <c r="A211">
        <v>210</v>
      </c>
      <c r="B211" t="s">
        <v>17</v>
      </c>
      <c r="C211" t="s">
        <v>510</v>
      </c>
      <c r="D211" t="s">
        <v>244</v>
      </c>
      <c r="E211">
        <v>19240203202</v>
      </c>
      <c r="F211" t="s">
        <v>36</v>
      </c>
      <c r="G211" t="s">
        <v>519</v>
      </c>
      <c r="H211" t="s">
        <v>520</v>
      </c>
      <c r="I211" t="s">
        <v>519</v>
      </c>
      <c r="J211" t="s">
        <v>519</v>
      </c>
      <c r="K211">
        <v>7</v>
      </c>
      <c r="L211">
        <v>6</v>
      </c>
    </row>
    <row r="212" spans="1:12" x14ac:dyDescent="0.2">
      <c r="A212">
        <v>211</v>
      </c>
      <c r="B212" t="s">
        <v>17</v>
      </c>
      <c r="C212" t="s">
        <v>510</v>
      </c>
      <c r="D212" t="s">
        <v>245</v>
      </c>
      <c r="E212">
        <v>19240207301</v>
      </c>
      <c r="F212" t="s">
        <v>35</v>
      </c>
      <c r="G212" t="s">
        <v>519</v>
      </c>
      <c r="H212" t="s">
        <v>520</v>
      </c>
      <c r="I212" t="s">
        <v>520</v>
      </c>
      <c r="J212" t="s">
        <v>519</v>
      </c>
      <c r="K212">
        <v>1</v>
      </c>
      <c r="L212">
        <v>1</v>
      </c>
    </row>
    <row r="213" spans="1:12" x14ac:dyDescent="0.2">
      <c r="A213">
        <v>212</v>
      </c>
      <c r="B213" t="s">
        <v>17</v>
      </c>
      <c r="C213" t="s">
        <v>510</v>
      </c>
      <c r="D213" t="s">
        <v>246</v>
      </c>
      <c r="E213">
        <v>19240203701</v>
      </c>
      <c r="F213" t="s">
        <v>36</v>
      </c>
      <c r="G213" t="s">
        <v>519</v>
      </c>
      <c r="H213" t="s">
        <v>520</v>
      </c>
      <c r="I213" t="s">
        <v>519</v>
      </c>
      <c r="J213" t="s">
        <v>519</v>
      </c>
      <c r="K213">
        <v>1</v>
      </c>
      <c r="L213">
        <v>1</v>
      </c>
    </row>
    <row r="214" spans="1:12" x14ac:dyDescent="0.2">
      <c r="A214">
        <v>213</v>
      </c>
      <c r="B214" t="s">
        <v>17</v>
      </c>
      <c r="C214" t="s">
        <v>510</v>
      </c>
      <c r="D214" t="s">
        <v>247</v>
      </c>
      <c r="E214">
        <v>19240205703</v>
      </c>
      <c r="F214" t="s">
        <v>36</v>
      </c>
      <c r="G214" t="s">
        <v>520</v>
      </c>
      <c r="H214" t="s">
        <v>520</v>
      </c>
      <c r="I214" t="s">
        <v>520</v>
      </c>
      <c r="J214" t="s">
        <v>519</v>
      </c>
      <c r="K214">
        <v>3</v>
      </c>
      <c r="L214">
        <v>1</v>
      </c>
    </row>
    <row r="215" spans="1:12" x14ac:dyDescent="0.2">
      <c r="A215">
        <v>214</v>
      </c>
      <c r="B215" t="s">
        <v>17</v>
      </c>
      <c r="C215" t="s">
        <v>510</v>
      </c>
      <c r="D215" t="s">
        <v>248</v>
      </c>
      <c r="E215">
        <v>19240202507</v>
      </c>
      <c r="F215" t="s">
        <v>36</v>
      </c>
      <c r="G215" t="s">
        <v>520</v>
      </c>
      <c r="H215" t="s">
        <v>519</v>
      </c>
      <c r="I215" t="s">
        <v>520</v>
      </c>
      <c r="J215" t="s">
        <v>519</v>
      </c>
      <c r="K215">
        <v>3</v>
      </c>
      <c r="L215">
        <v>1</v>
      </c>
    </row>
    <row r="216" spans="1:12" x14ac:dyDescent="0.2">
      <c r="A216">
        <v>215</v>
      </c>
      <c r="B216" t="s">
        <v>17</v>
      </c>
      <c r="C216" t="s">
        <v>510</v>
      </c>
      <c r="D216" t="s">
        <v>249</v>
      </c>
      <c r="E216">
        <v>19240206601</v>
      </c>
      <c r="F216" t="s">
        <v>35</v>
      </c>
      <c r="G216" t="s">
        <v>519</v>
      </c>
      <c r="H216" t="s">
        <v>520</v>
      </c>
      <c r="I216" t="s">
        <v>520</v>
      </c>
      <c r="J216" t="s">
        <v>519</v>
      </c>
      <c r="K216">
        <v>1</v>
      </c>
      <c r="L216">
        <v>3</v>
      </c>
    </row>
    <row r="217" spans="1:12" x14ac:dyDescent="0.2">
      <c r="A217">
        <v>216</v>
      </c>
      <c r="B217" t="s">
        <v>17</v>
      </c>
      <c r="C217" t="s">
        <v>510</v>
      </c>
      <c r="D217" t="s">
        <v>250</v>
      </c>
      <c r="E217">
        <v>19240207601</v>
      </c>
      <c r="F217" t="s">
        <v>36</v>
      </c>
      <c r="G217" t="s">
        <v>520</v>
      </c>
      <c r="H217" t="s">
        <v>519</v>
      </c>
      <c r="I217" t="s">
        <v>520</v>
      </c>
      <c r="J217" t="s">
        <v>519</v>
      </c>
      <c r="K217">
        <v>0</v>
      </c>
      <c r="L217">
        <v>3</v>
      </c>
    </row>
    <row r="218" spans="1:12" x14ac:dyDescent="0.2">
      <c r="A218">
        <v>217</v>
      </c>
      <c r="B218" t="s">
        <v>17</v>
      </c>
      <c r="C218" t="s">
        <v>510</v>
      </c>
      <c r="D218" t="s">
        <v>251</v>
      </c>
      <c r="E218">
        <v>19240204502</v>
      </c>
      <c r="F218" t="s">
        <v>37</v>
      </c>
      <c r="G218" t="s">
        <v>520</v>
      </c>
      <c r="H218" t="s">
        <v>519</v>
      </c>
      <c r="I218" t="s">
        <v>520</v>
      </c>
      <c r="J218" t="s">
        <v>519</v>
      </c>
      <c r="K218">
        <v>1</v>
      </c>
      <c r="L218">
        <v>1</v>
      </c>
    </row>
    <row r="219" spans="1:12" x14ac:dyDescent="0.2">
      <c r="A219">
        <v>218</v>
      </c>
      <c r="B219" t="s">
        <v>17</v>
      </c>
      <c r="C219" t="s">
        <v>510</v>
      </c>
      <c r="D219" t="s">
        <v>252</v>
      </c>
      <c r="E219">
        <v>19240203002</v>
      </c>
      <c r="F219" t="s">
        <v>35</v>
      </c>
      <c r="G219" t="s">
        <v>519</v>
      </c>
      <c r="H219" t="s">
        <v>520</v>
      </c>
      <c r="I219" t="s">
        <v>520</v>
      </c>
      <c r="J219" t="s">
        <v>519</v>
      </c>
      <c r="K219">
        <v>1</v>
      </c>
      <c r="L219">
        <v>1</v>
      </c>
    </row>
    <row r="220" spans="1:12" x14ac:dyDescent="0.2">
      <c r="A220">
        <v>219</v>
      </c>
      <c r="B220" t="s">
        <v>17</v>
      </c>
      <c r="C220" t="s">
        <v>510</v>
      </c>
      <c r="D220" t="s">
        <v>253</v>
      </c>
      <c r="E220">
        <v>19240202505</v>
      </c>
      <c r="F220" t="s">
        <v>37</v>
      </c>
      <c r="G220" t="s">
        <v>519</v>
      </c>
      <c r="H220" t="s">
        <v>520</v>
      </c>
      <c r="I220" t="s">
        <v>520</v>
      </c>
      <c r="J220" t="s">
        <v>519</v>
      </c>
      <c r="K220">
        <v>3</v>
      </c>
      <c r="L220">
        <v>1</v>
      </c>
    </row>
    <row r="221" spans="1:12" x14ac:dyDescent="0.2">
      <c r="A221">
        <v>220</v>
      </c>
      <c r="B221" t="s">
        <v>17</v>
      </c>
      <c r="C221" t="s">
        <v>510</v>
      </c>
      <c r="D221" t="s">
        <v>254</v>
      </c>
      <c r="E221">
        <v>19240207002</v>
      </c>
      <c r="F221" t="s">
        <v>36</v>
      </c>
      <c r="G221" t="s">
        <v>519</v>
      </c>
      <c r="H221" t="s">
        <v>520</v>
      </c>
      <c r="I221" t="s">
        <v>520</v>
      </c>
      <c r="J221" t="s">
        <v>519</v>
      </c>
      <c r="K221">
        <v>1</v>
      </c>
      <c r="L221">
        <v>1</v>
      </c>
    </row>
    <row r="222" spans="1:12" x14ac:dyDescent="0.2">
      <c r="A222">
        <v>221</v>
      </c>
      <c r="B222" t="s">
        <v>17</v>
      </c>
      <c r="C222" t="s">
        <v>510</v>
      </c>
      <c r="D222" t="s">
        <v>255</v>
      </c>
      <c r="E222">
        <v>19240203401</v>
      </c>
      <c r="F222" t="s">
        <v>35</v>
      </c>
      <c r="G222" t="s">
        <v>520</v>
      </c>
      <c r="H222" t="s">
        <v>519</v>
      </c>
      <c r="I222" t="s">
        <v>520</v>
      </c>
      <c r="J222" t="s">
        <v>519</v>
      </c>
      <c r="K222">
        <v>1</v>
      </c>
      <c r="L222">
        <v>1</v>
      </c>
    </row>
    <row r="223" spans="1:12" x14ac:dyDescent="0.2">
      <c r="A223">
        <v>222</v>
      </c>
      <c r="B223" t="s">
        <v>17</v>
      </c>
      <c r="C223" t="s">
        <v>510</v>
      </c>
      <c r="D223" t="s">
        <v>256</v>
      </c>
      <c r="E223">
        <v>19240207802</v>
      </c>
      <c r="F223" t="s">
        <v>36</v>
      </c>
      <c r="G223" t="s">
        <v>519</v>
      </c>
      <c r="H223" t="s">
        <v>520</v>
      </c>
      <c r="I223" t="s">
        <v>520</v>
      </c>
      <c r="J223" t="s">
        <v>519</v>
      </c>
      <c r="K223">
        <v>1</v>
      </c>
      <c r="L223">
        <v>1</v>
      </c>
    </row>
    <row r="224" spans="1:12" x14ac:dyDescent="0.2">
      <c r="A224">
        <v>223</v>
      </c>
      <c r="B224" t="s">
        <v>17</v>
      </c>
      <c r="C224" t="s">
        <v>510</v>
      </c>
      <c r="D224" t="s">
        <v>257</v>
      </c>
      <c r="E224">
        <v>19240207702</v>
      </c>
      <c r="F224" t="s">
        <v>36</v>
      </c>
      <c r="G224" t="s">
        <v>520</v>
      </c>
      <c r="H224" t="s">
        <v>519</v>
      </c>
      <c r="I224" t="s">
        <v>520</v>
      </c>
      <c r="J224" t="s">
        <v>519</v>
      </c>
      <c r="K224">
        <v>2</v>
      </c>
      <c r="L224">
        <v>1</v>
      </c>
    </row>
    <row r="225" spans="1:12" x14ac:dyDescent="0.2">
      <c r="A225">
        <v>224</v>
      </c>
      <c r="B225" t="s">
        <v>17</v>
      </c>
      <c r="C225" t="s">
        <v>510</v>
      </c>
      <c r="D225" t="s">
        <v>258</v>
      </c>
      <c r="E225">
        <v>19240201504</v>
      </c>
      <c r="F225" t="s">
        <v>36</v>
      </c>
      <c r="G225" t="s">
        <v>519</v>
      </c>
      <c r="H225" t="s">
        <v>520</v>
      </c>
      <c r="I225" t="s">
        <v>520</v>
      </c>
      <c r="J225" t="s">
        <v>519</v>
      </c>
      <c r="K225">
        <v>3</v>
      </c>
      <c r="L225">
        <v>1</v>
      </c>
    </row>
    <row r="226" spans="1:12" x14ac:dyDescent="0.2">
      <c r="A226">
        <v>225</v>
      </c>
      <c r="B226" t="s">
        <v>17</v>
      </c>
      <c r="C226" t="s">
        <v>510</v>
      </c>
      <c r="D226" t="s">
        <v>259</v>
      </c>
      <c r="E226">
        <v>19240200710</v>
      </c>
      <c r="F226" t="s">
        <v>35</v>
      </c>
      <c r="G226" t="s">
        <v>519</v>
      </c>
      <c r="H226" t="s">
        <v>520</v>
      </c>
      <c r="I226" t="s">
        <v>520</v>
      </c>
      <c r="J226" t="s">
        <v>519</v>
      </c>
      <c r="K226">
        <v>1</v>
      </c>
      <c r="L226">
        <v>1</v>
      </c>
    </row>
    <row r="227" spans="1:12" x14ac:dyDescent="0.2">
      <c r="A227">
        <v>226</v>
      </c>
      <c r="B227" t="s">
        <v>17</v>
      </c>
      <c r="C227" t="s">
        <v>510</v>
      </c>
      <c r="D227" t="s">
        <v>260</v>
      </c>
      <c r="E227">
        <v>19240208101</v>
      </c>
      <c r="F227" t="s">
        <v>36</v>
      </c>
      <c r="G227" t="s">
        <v>519</v>
      </c>
      <c r="H227" t="s">
        <v>520</v>
      </c>
      <c r="I227" t="s">
        <v>520</v>
      </c>
      <c r="J227" t="s">
        <v>519</v>
      </c>
      <c r="K227">
        <v>1</v>
      </c>
      <c r="L227">
        <v>1</v>
      </c>
    </row>
    <row r="228" spans="1:12" x14ac:dyDescent="0.2">
      <c r="A228">
        <v>227</v>
      </c>
      <c r="B228" t="s">
        <v>17</v>
      </c>
      <c r="C228" t="s">
        <v>510</v>
      </c>
      <c r="D228" t="s">
        <v>261</v>
      </c>
      <c r="E228">
        <v>19240200501</v>
      </c>
      <c r="F228" t="s">
        <v>37</v>
      </c>
      <c r="G228" t="s">
        <v>520</v>
      </c>
      <c r="H228" t="s">
        <v>520</v>
      </c>
      <c r="I228" t="s">
        <v>520</v>
      </c>
      <c r="J228" t="s">
        <v>519</v>
      </c>
      <c r="K228">
        <v>3</v>
      </c>
      <c r="L228">
        <v>1</v>
      </c>
    </row>
    <row r="229" spans="1:12" x14ac:dyDescent="0.2">
      <c r="A229">
        <v>228</v>
      </c>
      <c r="B229" t="s">
        <v>17</v>
      </c>
      <c r="C229" t="s">
        <v>510</v>
      </c>
      <c r="D229" t="s">
        <v>262</v>
      </c>
      <c r="E229">
        <v>19240204903</v>
      </c>
      <c r="F229" t="s">
        <v>35</v>
      </c>
      <c r="G229" t="s">
        <v>519</v>
      </c>
      <c r="H229" t="s">
        <v>520</v>
      </c>
      <c r="I229" t="s">
        <v>520</v>
      </c>
      <c r="J229" t="s">
        <v>519</v>
      </c>
      <c r="K229">
        <v>0</v>
      </c>
      <c r="L229">
        <v>8</v>
      </c>
    </row>
    <row r="230" spans="1:12" x14ac:dyDescent="0.2">
      <c r="A230">
        <v>229</v>
      </c>
      <c r="B230" t="s">
        <v>17</v>
      </c>
      <c r="C230" t="s">
        <v>510</v>
      </c>
      <c r="D230" t="s">
        <v>263</v>
      </c>
      <c r="E230">
        <v>19240204601</v>
      </c>
      <c r="F230" t="s">
        <v>37</v>
      </c>
      <c r="G230" t="s">
        <v>520</v>
      </c>
      <c r="H230" t="s">
        <v>519</v>
      </c>
      <c r="I230" t="s">
        <v>520</v>
      </c>
      <c r="J230" t="s">
        <v>519</v>
      </c>
      <c r="K230">
        <v>1</v>
      </c>
      <c r="L230">
        <v>1</v>
      </c>
    </row>
    <row r="231" spans="1:12" x14ac:dyDescent="0.2">
      <c r="A231">
        <v>230</v>
      </c>
      <c r="B231" t="s">
        <v>17</v>
      </c>
      <c r="C231" t="s">
        <v>510</v>
      </c>
      <c r="D231" t="s">
        <v>264</v>
      </c>
      <c r="E231">
        <v>19240200708</v>
      </c>
      <c r="F231" t="s">
        <v>36</v>
      </c>
      <c r="G231" t="s">
        <v>519</v>
      </c>
      <c r="H231" t="s">
        <v>520</v>
      </c>
      <c r="I231" t="s">
        <v>520</v>
      </c>
      <c r="J231" t="s">
        <v>519</v>
      </c>
      <c r="K231">
        <v>3</v>
      </c>
      <c r="L231">
        <v>1</v>
      </c>
    </row>
    <row r="232" spans="1:12" x14ac:dyDescent="0.2">
      <c r="A232">
        <v>231</v>
      </c>
      <c r="B232" t="s">
        <v>17</v>
      </c>
      <c r="C232" t="s">
        <v>510</v>
      </c>
      <c r="D232" t="s">
        <v>265</v>
      </c>
      <c r="E232">
        <v>19240206201</v>
      </c>
      <c r="F232" t="s">
        <v>35</v>
      </c>
      <c r="G232" t="s">
        <v>519</v>
      </c>
      <c r="H232" t="s">
        <v>520</v>
      </c>
      <c r="I232" t="s">
        <v>520</v>
      </c>
      <c r="J232" t="s">
        <v>519</v>
      </c>
      <c r="K232">
        <v>3</v>
      </c>
      <c r="L232">
        <v>2</v>
      </c>
    </row>
    <row r="233" spans="1:12" x14ac:dyDescent="0.2">
      <c r="A233">
        <v>232</v>
      </c>
      <c r="B233" t="s">
        <v>17</v>
      </c>
      <c r="C233" t="s">
        <v>510</v>
      </c>
      <c r="D233" t="s">
        <v>266</v>
      </c>
      <c r="E233">
        <v>19240201101</v>
      </c>
      <c r="F233" t="s">
        <v>36</v>
      </c>
      <c r="G233" t="s">
        <v>519</v>
      </c>
      <c r="H233" t="s">
        <v>519</v>
      </c>
      <c r="I233" t="s">
        <v>520</v>
      </c>
      <c r="J233" t="s">
        <v>519</v>
      </c>
      <c r="K233">
        <v>1</v>
      </c>
      <c r="L233">
        <v>1</v>
      </c>
    </row>
    <row r="234" spans="1:12" x14ac:dyDescent="0.2">
      <c r="A234">
        <v>233</v>
      </c>
      <c r="B234" t="s">
        <v>17</v>
      </c>
      <c r="C234" t="s">
        <v>510</v>
      </c>
      <c r="D234" t="s">
        <v>267</v>
      </c>
      <c r="E234">
        <v>19240206102</v>
      </c>
      <c r="F234" t="s">
        <v>36</v>
      </c>
      <c r="G234" t="s">
        <v>519</v>
      </c>
      <c r="H234" t="s">
        <v>520</v>
      </c>
      <c r="I234" t="s">
        <v>519</v>
      </c>
      <c r="J234" t="s">
        <v>519</v>
      </c>
      <c r="K234">
        <v>1</v>
      </c>
      <c r="L234">
        <v>1</v>
      </c>
    </row>
    <row r="235" spans="1:12" x14ac:dyDescent="0.2">
      <c r="A235">
        <v>234</v>
      </c>
      <c r="B235" t="s">
        <v>17</v>
      </c>
      <c r="C235" t="s">
        <v>510</v>
      </c>
      <c r="D235" t="s">
        <v>268</v>
      </c>
      <c r="E235">
        <v>19240208401</v>
      </c>
      <c r="F235" t="s">
        <v>36</v>
      </c>
      <c r="G235" t="s">
        <v>519</v>
      </c>
      <c r="H235" t="s">
        <v>520</v>
      </c>
      <c r="I235" t="s">
        <v>520</v>
      </c>
      <c r="J235" t="s">
        <v>519</v>
      </c>
      <c r="K235">
        <v>1</v>
      </c>
      <c r="L235">
        <v>1</v>
      </c>
    </row>
    <row r="236" spans="1:12" x14ac:dyDescent="0.2">
      <c r="A236">
        <v>235</v>
      </c>
      <c r="B236" t="s">
        <v>17</v>
      </c>
      <c r="C236" t="s">
        <v>510</v>
      </c>
      <c r="D236" t="s">
        <v>269</v>
      </c>
      <c r="E236">
        <v>19240205001</v>
      </c>
      <c r="F236" t="s">
        <v>35</v>
      </c>
      <c r="G236" t="s">
        <v>519</v>
      </c>
      <c r="H236" t="s">
        <v>520</v>
      </c>
      <c r="I236" t="s">
        <v>520</v>
      </c>
      <c r="J236" t="s">
        <v>519</v>
      </c>
      <c r="K236">
        <v>2</v>
      </c>
      <c r="L236">
        <v>2</v>
      </c>
    </row>
    <row r="237" spans="1:12" x14ac:dyDescent="0.2">
      <c r="A237">
        <v>236</v>
      </c>
      <c r="B237" t="s">
        <v>17</v>
      </c>
      <c r="C237" t="s">
        <v>510</v>
      </c>
      <c r="D237" t="s">
        <v>270</v>
      </c>
      <c r="E237">
        <v>19240207401</v>
      </c>
      <c r="F237" t="s">
        <v>36</v>
      </c>
      <c r="G237" t="s">
        <v>519</v>
      </c>
      <c r="H237" t="s">
        <v>520</v>
      </c>
      <c r="I237" t="s">
        <v>520</v>
      </c>
      <c r="J237" t="s">
        <v>519</v>
      </c>
      <c r="K237">
        <v>3</v>
      </c>
      <c r="L237">
        <v>1</v>
      </c>
    </row>
    <row r="238" spans="1:12" x14ac:dyDescent="0.2">
      <c r="A238">
        <v>237</v>
      </c>
      <c r="B238" t="s">
        <v>17</v>
      </c>
      <c r="C238" t="s">
        <v>510</v>
      </c>
      <c r="D238" t="s">
        <v>271</v>
      </c>
      <c r="E238">
        <v>19240200902</v>
      </c>
      <c r="F238" t="s">
        <v>37</v>
      </c>
      <c r="G238" t="s">
        <v>519</v>
      </c>
      <c r="H238" t="s">
        <v>519</v>
      </c>
      <c r="I238" t="s">
        <v>519</v>
      </c>
      <c r="J238" t="s">
        <v>519</v>
      </c>
      <c r="K238">
        <v>3</v>
      </c>
      <c r="L238">
        <v>4</v>
      </c>
    </row>
    <row r="239" spans="1:12" x14ac:dyDescent="0.2">
      <c r="A239">
        <v>238</v>
      </c>
      <c r="B239" t="s">
        <v>17</v>
      </c>
      <c r="C239" t="s">
        <v>510</v>
      </c>
      <c r="D239" t="s">
        <v>272</v>
      </c>
      <c r="E239">
        <v>19240200801</v>
      </c>
      <c r="F239" t="s">
        <v>35</v>
      </c>
      <c r="G239" t="s">
        <v>519</v>
      </c>
      <c r="H239" t="s">
        <v>520</v>
      </c>
      <c r="I239" t="s">
        <v>520</v>
      </c>
      <c r="J239" t="s">
        <v>519</v>
      </c>
      <c r="K239">
        <v>3</v>
      </c>
      <c r="L239">
        <v>1</v>
      </c>
    </row>
    <row r="240" spans="1:12" x14ac:dyDescent="0.2">
      <c r="A240">
        <v>239</v>
      </c>
      <c r="B240" t="s">
        <v>17</v>
      </c>
      <c r="C240" t="s">
        <v>510</v>
      </c>
      <c r="D240" t="s">
        <v>273</v>
      </c>
      <c r="E240">
        <v>19240205301</v>
      </c>
      <c r="F240" t="s">
        <v>37</v>
      </c>
      <c r="G240" t="s">
        <v>519</v>
      </c>
      <c r="H240" t="s">
        <v>520</v>
      </c>
      <c r="I240" t="s">
        <v>520</v>
      </c>
      <c r="J240" t="s">
        <v>519</v>
      </c>
      <c r="K240">
        <v>1</v>
      </c>
      <c r="L240">
        <v>1</v>
      </c>
    </row>
    <row r="241" spans="1:12" x14ac:dyDescent="0.2">
      <c r="A241">
        <v>240</v>
      </c>
      <c r="B241" t="s">
        <v>17</v>
      </c>
      <c r="C241" t="s">
        <v>510</v>
      </c>
      <c r="D241" t="s">
        <v>274</v>
      </c>
      <c r="E241">
        <v>19240204501</v>
      </c>
      <c r="F241" t="s">
        <v>36</v>
      </c>
      <c r="G241" t="s">
        <v>520</v>
      </c>
      <c r="H241" t="s">
        <v>520</v>
      </c>
      <c r="I241" t="s">
        <v>520</v>
      </c>
      <c r="J241" t="s">
        <v>519</v>
      </c>
      <c r="K241">
        <v>1</v>
      </c>
      <c r="L241">
        <v>1</v>
      </c>
    </row>
    <row r="242" spans="1:12" x14ac:dyDescent="0.2">
      <c r="A242">
        <v>241</v>
      </c>
      <c r="B242" t="s">
        <v>17</v>
      </c>
      <c r="C242" t="s">
        <v>510</v>
      </c>
      <c r="D242" t="s">
        <v>275</v>
      </c>
      <c r="E242">
        <v>19240206101</v>
      </c>
      <c r="F242" t="s">
        <v>35</v>
      </c>
      <c r="G242" t="s">
        <v>519</v>
      </c>
      <c r="H242" t="s">
        <v>520</v>
      </c>
      <c r="I242" t="s">
        <v>520</v>
      </c>
      <c r="J242" t="s">
        <v>519</v>
      </c>
      <c r="K242">
        <v>3</v>
      </c>
      <c r="L242">
        <v>1</v>
      </c>
    </row>
    <row r="243" spans="1:12" x14ac:dyDescent="0.2">
      <c r="A243">
        <v>242</v>
      </c>
      <c r="B243" t="s">
        <v>17</v>
      </c>
      <c r="C243" t="s">
        <v>510</v>
      </c>
      <c r="D243" t="s">
        <v>276</v>
      </c>
      <c r="E243">
        <v>19240208001</v>
      </c>
      <c r="F243" t="s">
        <v>36</v>
      </c>
      <c r="G243" t="s">
        <v>519</v>
      </c>
      <c r="H243" t="s">
        <v>520</v>
      </c>
      <c r="I243" t="s">
        <v>520</v>
      </c>
      <c r="J243" t="s">
        <v>519</v>
      </c>
      <c r="K243">
        <v>3</v>
      </c>
      <c r="L243">
        <v>1</v>
      </c>
    </row>
    <row r="244" spans="1:12" x14ac:dyDescent="0.2">
      <c r="A244">
        <v>243</v>
      </c>
      <c r="B244" t="s">
        <v>17</v>
      </c>
      <c r="C244" t="s">
        <v>510</v>
      </c>
      <c r="D244" t="s">
        <v>277</v>
      </c>
      <c r="E244">
        <v>19240202202</v>
      </c>
      <c r="F244" t="s">
        <v>36</v>
      </c>
      <c r="G244" t="s">
        <v>519</v>
      </c>
      <c r="H244" t="s">
        <v>520</v>
      </c>
      <c r="I244" t="s">
        <v>520</v>
      </c>
      <c r="J244" t="s">
        <v>519</v>
      </c>
      <c r="K244">
        <v>1</v>
      </c>
      <c r="L244">
        <v>1</v>
      </c>
    </row>
    <row r="245" spans="1:12" x14ac:dyDescent="0.2">
      <c r="A245">
        <v>244</v>
      </c>
      <c r="B245" t="s">
        <v>17</v>
      </c>
      <c r="C245" t="s">
        <v>510</v>
      </c>
      <c r="D245" t="s">
        <v>278</v>
      </c>
      <c r="E245">
        <v>19240202504</v>
      </c>
      <c r="F245" t="s">
        <v>36</v>
      </c>
      <c r="G245" t="s">
        <v>519</v>
      </c>
      <c r="H245" t="s">
        <v>520</v>
      </c>
      <c r="I245" t="s">
        <v>520</v>
      </c>
      <c r="J245" t="s">
        <v>519</v>
      </c>
      <c r="K245">
        <v>3</v>
      </c>
      <c r="L245">
        <v>1</v>
      </c>
    </row>
    <row r="246" spans="1:12" x14ac:dyDescent="0.2">
      <c r="A246">
        <v>245</v>
      </c>
      <c r="B246" t="s">
        <v>17</v>
      </c>
      <c r="C246" t="s">
        <v>510</v>
      </c>
      <c r="D246" t="s">
        <v>279</v>
      </c>
      <c r="E246">
        <v>19240202508</v>
      </c>
      <c r="F246" t="s">
        <v>35</v>
      </c>
      <c r="G246" t="s">
        <v>520</v>
      </c>
      <c r="H246" t="s">
        <v>519</v>
      </c>
      <c r="I246" t="s">
        <v>520</v>
      </c>
      <c r="J246" t="s">
        <v>519</v>
      </c>
      <c r="K246">
        <v>1</v>
      </c>
      <c r="L246">
        <v>1</v>
      </c>
    </row>
    <row r="247" spans="1:12" x14ac:dyDescent="0.2">
      <c r="A247">
        <v>246</v>
      </c>
      <c r="B247" t="s">
        <v>17</v>
      </c>
      <c r="C247" t="s">
        <v>510</v>
      </c>
      <c r="D247" t="s">
        <v>280</v>
      </c>
      <c r="E247">
        <v>19240202501</v>
      </c>
      <c r="F247" t="s">
        <v>36</v>
      </c>
      <c r="G247" t="s">
        <v>520</v>
      </c>
      <c r="H247" t="s">
        <v>519</v>
      </c>
      <c r="I247" t="s">
        <v>520</v>
      </c>
      <c r="J247" t="s">
        <v>519</v>
      </c>
      <c r="K247">
        <v>1</v>
      </c>
      <c r="L247">
        <v>1</v>
      </c>
    </row>
    <row r="248" spans="1:12" x14ac:dyDescent="0.2">
      <c r="A248">
        <v>247</v>
      </c>
      <c r="B248" t="s">
        <v>17</v>
      </c>
      <c r="C248" t="s">
        <v>510</v>
      </c>
      <c r="D248" t="s">
        <v>281</v>
      </c>
      <c r="E248">
        <v>19240200711</v>
      </c>
      <c r="F248" t="s">
        <v>37</v>
      </c>
      <c r="G248" t="s">
        <v>519</v>
      </c>
      <c r="H248" t="s">
        <v>520</v>
      </c>
      <c r="I248" t="s">
        <v>520</v>
      </c>
      <c r="J248" t="s">
        <v>519</v>
      </c>
      <c r="K248">
        <v>1</v>
      </c>
      <c r="L248">
        <v>1</v>
      </c>
    </row>
    <row r="249" spans="1:12" x14ac:dyDescent="0.2">
      <c r="A249">
        <v>248</v>
      </c>
      <c r="B249" t="s">
        <v>17</v>
      </c>
      <c r="C249" t="s">
        <v>510</v>
      </c>
      <c r="D249" t="s">
        <v>282</v>
      </c>
      <c r="E249">
        <v>19240205801</v>
      </c>
      <c r="F249" t="s">
        <v>35</v>
      </c>
      <c r="G249" t="s">
        <v>519</v>
      </c>
      <c r="H249" t="s">
        <v>519</v>
      </c>
      <c r="I249" t="s">
        <v>520</v>
      </c>
      <c r="J249" t="s">
        <v>519</v>
      </c>
      <c r="K249">
        <v>1</v>
      </c>
      <c r="L249">
        <v>1</v>
      </c>
    </row>
    <row r="250" spans="1:12" x14ac:dyDescent="0.2">
      <c r="A250">
        <v>249</v>
      </c>
      <c r="B250" t="s">
        <v>17</v>
      </c>
      <c r="C250" t="s">
        <v>510</v>
      </c>
      <c r="D250" t="s">
        <v>283</v>
      </c>
      <c r="E250">
        <v>19240202901</v>
      </c>
      <c r="F250" t="s">
        <v>37</v>
      </c>
      <c r="G250" t="s">
        <v>519</v>
      </c>
      <c r="H250" t="s">
        <v>520</v>
      </c>
      <c r="I250" t="s">
        <v>520</v>
      </c>
      <c r="J250" t="s">
        <v>519</v>
      </c>
      <c r="K250">
        <v>1</v>
      </c>
      <c r="L250">
        <v>1</v>
      </c>
    </row>
    <row r="251" spans="1:12" x14ac:dyDescent="0.2">
      <c r="A251">
        <v>250</v>
      </c>
      <c r="B251" t="s">
        <v>17</v>
      </c>
      <c r="C251" t="s">
        <v>510</v>
      </c>
      <c r="D251" t="s">
        <v>284</v>
      </c>
      <c r="E251">
        <v>19240200701</v>
      </c>
      <c r="F251" t="s">
        <v>36</v>
      </c>
      <c r="G251" t="s">
        <v>519</v>
      </c>
      <c r="H251" t="s">
        <v>520</v>
      </c>
      <c r="I251" t="s">
        <v>520</v>
      </c>
      <c r="J251" t="s">
        <v>519</v>
      </c>
      <c r="K251">
        <v>1</v>
      </c>
      <c r="L251">
        <v>1</v>
      </c>
    </row>
    <row r="252" spans="1:12" x14ac:dyDescent="0.2">
      <c r="A252">
        <v>251</v>
      </c>
      <c r="B252" t="s">
        <v>17</v>
      </c>
      <c r="C252" t="s">
        <v>510</v>
      </c>
      <c r="D252" t="s">
        <v>285</v>
      </c>
      <c r="E252">
        <v>19240200804</v>
      </c>
      <c r="F252" t="s">
        <v>35</v>
      </c>
      <c r="G252" t="s">
        <v>520</v>
      </c>
      <c r="H252" t="s">
        <v>520</v>
      </c>
      <c r="I252" t="s">
        <v>519</v>
      </c>
      <c r="J252" t="s">
        <v>519</v>
      </c>
      <c r="K252">
        <v>3</v>
      </c>
      <c r="L252">
        <v>1</v>
      </c>
    </row>
    <row r="253" spans="1:12" x14ac:dyDescent="0.2">
      <c r="A253">
        <v>252</v>
      </c>
      <c r="B253" t="s">
        <v>17</v>
      </c>
      <c r="C253" t="s">
        <v>510</v>
      </c>
      <c r="D253" t="s">
        <v>286</v>
      </c>
      <c r="E253">
        <v>19240207701</v>
      </c>
      <c r="F253" t="s">
        <v>36</v>
      </c>
      <c r="G253" t="s">
        <v>520</v>
      </c>
      <c r="H253" t="s">
        <v>520</v>
      </c>
      <c r="I253" t="s">
        <v>519</v>
      </c>
      <c r="J253" t="s">
        <v>519</v>
      </c>
      <c r="K253">
        <v>1</v>
      </c>
      <c r="L253">
        <v>1</v>
      </c>
    </row>
    <row r="254" spans="1:12" x14ac:dyDescent="0.2">
      <c r="A254">
        <v>253</v>
      </c>
      <c r="B254" t="s">
        <v>17</v>
      </c>
      <c r="C254" t="s">
        <v>510</v>
      </c>
      <c r="D254" t="s">
        <v>287</v>
      </c>
      <c r="E254">
        <v>19240202401</v>
      </c>
      <c r="F254" t="s">
        <v>36</v>
      </c>
      <c r="G254" t="s">
        <v>520</v>
      </c>
      <c r="H254" t="s">
        <v>519</v>
      </c>
      <c r="I254" t="s">
        <v>520</v>
      </c>
      <c r="J254" t="s">
        <v>519</v>
      </c>
      <c r="K254">
        <v>2</v>
      </c>
      <c r="L254">
        <v>1</v>
      </c>
    </row>
    <row r="255" spans="1:12" x14ac:dyDescent="0.2">
      <c r="A255">
        <v>254</v>
      </c>
      <c r="B255" t="s">
        <v>17</v>
      </c>
      <c r="C255" t="s">
        <v>510</v>
      </c>
      <c r="D255" t="s">
        <v>288</v>
      </c>
      <c r="E255">
        <v>19240204401</v>
      </c>
      <c r="F255" t="s">
        <v>36</v>
      </c>
      <c r="G255" t="s">
        <v>519</v>
      </c>
      <c r="H255" t="s">
        <v>520</v>
      </c>
      <c r="I255" t="s">
        <v>520</v>
      </c>
      <c r="J255" t="s">
        <v>519</v>
      </c>
      <c r="K255">
        <v>4</v>
      </c>
      <c r="L255">
        <v>3</v>
      </c>
    </row>
    <row r="256" spans="1:12" x14ac:dyDescent="0.2">
      <c r="A256">
        <v>255</v>
      </c>
      <c r="B256" t="s">
        <v>17</v>
      </c>
      <c r="C256" t="s">
        <v>510</v>
      </c>
      <c r="D256" t="s">
        <v>289</v>
      </c>
      <c r="E256">
        <v>19240204201</v>
      </c>
      <c r="F256" t="s">
        <v>35</v>
      </c>
      <c r="G256" t="s">
        <v>520</v>
      </c>
      <c r="H256" t="s">
        <v>520</v>
      </c>
      <c r="I256" t="s">
        <v>520</v>
      </c>
      <c r="J256" t="s">
        <v>519</v>
      </c>
      <c r="K256">
        <v>1</v>
      </c>
      <c r="L256">
        <v>1</v>
      </c>
    </row>
    <row r="257" spans="1:12" x14ac:dyDescent="0.2">
      <c r="A257">
        <v>256</v>
      </c>
      <c r="B257" t="s">
        <v>17</v>
      </c>
      <c r="C257" t="s">
        <v>510</v>
      </c>
      <c r="D257" t="s">
        <v>290</v>
      </c>
      <c r="E257">
        <v>19240201902</v>
      </c>
      <c r="F257" t="s">
        <v>36</v>
      </c>
      <c r="G257" t="s">
        <v>519</v>
      </c>
      <c r="H257" t="s">
        <v>520</v>
      </c>
      <c r="I257" t="s">
        <v>519</v>
      </c>
      <c r="J257" t="s">
        <v>519</v>
      </c>
      <c r="K257">
        <v>1</v>
      </c>
      <c r="L257">
        <v>1</v>
      </c>
    </row>
    <row r="258" spans="1:12" x14ac:dyDescent="0.2">
      <c r="A258">
        <v>257</v>
      </c>
      <c r="B258" t="s">
        <v>17</v>
      </c>
      <c r="C258" t="s">
        <v>510</v>
      </c>
      <c r="D258" t="s">
        <v>291</v>
      </c>
      <c r="E258">
        <v>19240202701</v>
      </c>
      <c r="F258" t="s">
        <v>37</v>
      </c>
      <c r="G258" t="s">
        <v>519</v>
      </c>
      <c r="H258" t="s">
        <v>519</v>
      </c>
      <c r="I258" t="s">
        <v>519</v>
      </c>
      <c r="J258" t="s">
        <v>519</v>
      </c>
      <c r="K258">
        <v>1</v>
      </c>
      <c r="L258">
        <v>1</v>
      </c>
    </row>
    <row r="259" spans="1:12" x14ac:dyDescent="0.2">
      <c r="A259">
        <v>258</v>
      </c>
      <c r="B259" t="s">
        <v>17</v>
      </c>
      <c r="C259" t="s">
        <v>512</v>
      </c>
      <c r="D259" t="s">
        <v>292</v>
      </c>
      <c r="E259">
        <v>19240301803</v>
      </c>
      <c r="F259" t="s">
        <v>35</v>
      </c>
      <c r="G259" t="s">
        <v>520</v>
      </c>
      <c r="H259" t="s">
        <v>519</v>
      </c>
      <c r="I259" t="s">
        <v>520</v>
      </c>
      <c r="J259" t="s">
        <v>519</v>
      </c>
      <c r="K259">
        <v>2</v>
      </c>
      <c r="L259">
        <v>2</v>
      </c>
    </row>
    <row r="260" spans="1:12" x14ac:dyDescent="0.2">
      <c r="A260">
        <v>259</v>
      </c>
      <c r="B260" t="s">
        <v>17</v>
      </c>
      <c r="C260" t="s">
        <v>510</v>
      </c>
      <c r="D260" t="s">
        <v>293</v>
      </c>
      <c r="E260">
        <v>19240200601</v>
      </c>
      <c r="F260" t="s">
        <v>37</v>
      </c>
      <c r="G260" t="s">
        <v>520</v>
      </c>
      <c r="H260" t="s">
        <v>519</v>
      </c>
      <c r="I260" t="s">
        <v>520</v>
      </c>
      <c r="J260" t="s">
        <v>519</v>
      </c>
      <c r="K260">
        <v>2</v>
      </c>
      <c r="L260">
        <v>2</v>
      </c>
    </row>
    <row r="261" spans="1:12" x14ac:dyDescent="0.2">
      <c r="A261">
        <v>260</v>
      </c>
      <c r="B261" t="s">
        <v>17</v>
      </c>
      <c r="C261" t="s">
        <v>512</v>
      </c>
      <c r="D261" t="s">
        <v>294</v>
      </c>
      <c r="E261">
        <v>19240301102</v>
      </c>
      <c r="F261" t="s">
        <v>36</v>
      </c>
      <c r="G261" t="s">
        <v>520</v>
      </c>
      <c r="H261" t="s">
        <v>520</v>
      </c>
      <c r="I261" t="s">
        <v>520</v>
      </c>
      <c r="J261" t="s">
        <v>519</v>
      </c>
      <c r="K261">
        <v>1</v>
      </c>
      <c r="L261">
        <v>1</v>
      </c>
    </row>
    <row r="262" spans="1:12" x14ac:dyDescent="0.2">
      <c r="A262">
        <v>261</v>
      </c>
      <c r="B262" t="s">
        <v>17</v>
      </c>
      <c r="C262" t="s">
        <v>510</v>
      </c>
      <c r="D262" t="s">
        <v>295</v>
      </c>
      <c r="E262">
        <v>19240201801</v>
      </c>
      <c r="F262" t="s">
        <v>35</v>
      </c>
      <c r="G262" t="s">
        <v>519</v>
      </c>
      <c r="H262" t="s">
        <v>520</v>
      </c>
      <c r="I262" t="s">
        <v>520</v>
      </c>
      <c r="J262" t="s">
        <v>519</v>
      </c>
      <c r="K262">
        <v>4</v>
      </c>
      <c r="L262">
        <v>1</v>
      </c>
    </row>
    <row r="263" spans="1:12" x14ac:dyDescent="0.2">
      <c r="A263">
        <v>262</v>
      </c>
      <c r="B263" t="s">
        <v>17</v>
      </c>
      <c r="C263" t="s">
        <v>510</v>
      </c>
      <c r="D263" t="s">
        <v>296</v>
      </c>
      <c r="E263">
        <v>19240206002</v>
      </c>
      <c r="F263" t="s">
        <v>36</v>
      </c>
      <c r="G263" t="s">
        <v>519</v>
      </c>
      <c r="H263" t="s">
        <v>519</v>
      </c>
      <c r="I263" t="s">
        <v>520</v>
      </c>
      <c r="J263" t="s">
        <v>519</v>
      </c>
      <c r="K263">
        <v>2</v>
      </c>
      <c r="L263">
        <v>1</v>
      </c>
    </row>
    <row r="264" spans="1:12" x14ac:dyDescent="0.2">
      <c r="A264">
        <v>263</v>
      </c>
      <c r="B264" t="s">
        <v>17</v>
      </c>
      <c r="C264" t="s">
        <v>510</v>
      </c>
      <c r="D264" t="s">
        <v>297</v>
      </c>
      <c r="E264">
        <v>19240204301</v>
      </c>
      <c r="F264" t="s">
        <v>36</v>
      </c>
      <c r="G264" t="s">
        <v>519</v>
      </c>
      <c r="H264" t="s">
        <v>520</v>
      </c>
      <c r="I264" t="s">
        <v>520</v>
      </c>
      <c r="J264" t="s">
        <v>519</v>
      </c>
      <c r="K264">
        <v>1</v>
      </c>
      <c r="L264">
        <v>1</v>
      </c>
    </row>
    <row r="265" spans="1:12" x14ac:dyDescent="0.2">
      <c r="A265">
        <v>264</v>
      </c>
      <c r="B265" t="s">
        <v>17</v>
      </c>
      <c r="C265" t="s">
        <v>510</v>
      </c>
      <c r="D265" t="s">
        <v>298</v>
      </c>
      <c r="E265">
        <v>19240205206</v>
      </c>
      <c r="F265" t="s">
        <v>36</v>
      </c>
      <c r="G265" t="s">
        <v>520</v>
      </c>
      <c r="H265" t="s">
        <v>519</v>
      </c>
      <c r="I265" t="s">
        <v>520</v>
      </c>
      <c r="J265" t="s">
        <v>519</v>
      </c>
      <c r="K265">
        <v>1</v>
      </c>
      <c r="L265">
        <v>1</v>
      </c>
    </row>
    <row r="266" spans="1:12" x14ac:dyDescent="0.2">
      <c r="A266">
        <v>265</v>
      </c>
      <c r="B266" t="s">
        <v>17</v>
      </c>
      <c r="C266" t="s">
        <v>510</v>
      </c>
      <c r="D266" t="s">
        <v>299</v>
      </c>
      <c r="E266">
        <v>19240201001</v>
      </c>
      <c r="F266" t="s">
        <v>35</v>
      </c>
      <c r="G266" t="s">
        <v>519</v>
      </c>
      <c r="H266" t="s">
        <v>519</v>
      </c>
      <c r="I266" t="s">
        <v>520</v>
      </c>
      <c r="J266" t="s">
        <v>519</v>
      </c>
      <c r="K266">
        <v>1</v>
      </c>
      <c r="L266">
        <v>1</v>
      </c>
    </row>
    <row r="267" spans="1:12" x14ac:dyDescent="0.2">
      <c r="A267">
        <v>266</v>
      </c>
      <c r="B267" t="s">
        <v>17</v>
      </c>
      <c r="C267" t="s">
        <v>510</v>
      </c>
      <c r="D267" t="s">
        <v>300</v>
      </c>
      <c r="E267">
        <v>19240202302</v>
      </c>
      <c r="F267" t="s">
        <v>36</v>
      </c>
      <c r="G267" t="s">
        <v>520</v>
      </c>
      <c r="H267" t="s">
        <v>520</v>
      </c>
      <c r="I267" t="s">
        <v>519</v>
      </c>
      <c r="J267" t="s">
        <v>519</v>
      </c>
      <c r="K267">
        <v>1</v>
      </c>
      <c r="L267">
        <v>1</v>
      </c>
    </row>
    <row r="268" spans="1:12" x14ac:dyDescent="0.2">
      <c r="A268">
        <v>267</v>
      </c>
      <c r="B268" t="s">
        <v>17</v>
      </c>
      <c r="C268" t="s">
        <v>510</v>
      </c>
      <c r="D268" t="s">
        <v>301</v>
      </c>
      <c r="E268">
        <v>19240205205</v>
      </c>
      <c r="F268" t="s">
        <v>37</v>
      </c>
      <c r="G268" t="s">
        <v>520</v>
      </c>
      <c r="H268" t="s">
        <v>519</v>
      </c>
      <c r="I268" t="s">
        <v>520</v>
      </c>
      <c r="J268" t="s">
        <v>519</v>
      </c>
      <c r="K268">
        <v>4</v>
      </c>
      <c r="L268">
        <v>1</v>
      </c>
    </row>
    <row r="269" spans="1:12" x14ac:dyDescent="0.2">
      <c r="A269">
        <v>268</v>
      </c>
      <c r="B269" t="s">
        <v>17</v>
      </c>
      <c r="C269" t="s">
        <v>510</v>
      </c>
      <c r="D269" t="s">
        <v>302</v>
      </c>
      <c r="E269">
        <v>19240202301</v>
      </c>
      <c r="F269" t="s">
        <v>35</v>
      </c>
      <c r="G269" t="s">
        <v>519</v>
      </c>
      <c r="H269" t="s">
        <v>520</v>
      </c>
      <c r="I269" t="s">
        <v>520</v>
      </c>
      <c r="J269" t="s">
        <v>519</v>
      </c>
      <c r="K269">
        <v>1</v>
      </c>
      <c r="L269">
        <v>1</v>
      </c>
    </row>
    <row r="270" spans="1:12" x14ac:dyDescent="0.2">
      <c r="A270">
        <v>269</v>
      </c>
      <c r="B270" t="s">
        <v>17</v>
      </c>
      <c r="C270" t="s">
        <v>510</v>
      </c>
      <c r="D270" t="s">
        <v>303</v>
      </c>
      <c r="E270">
        <v>19240205702</v>
      </c>
      <c r="F270" t="s">
        <v>37</v>
      </c>
      <c r="G270" t="s">
        <v>519</v>
      </c>
      <c r="H270" t="s">
        <v>520</v>
      </c>
      <c r="I270" t="s">
        <v>520</v>
      </c>
      <c r="J270" t="s">
        <v>519</v>
      </c>
      <c r="K270">
        <v>1</v>
      </c>
      <c r="L270">
        <v>1</v>
      </c>
    </row>
    <row r="271" spans="1:12" x14ac:dyDescent="0.2">
      <c r="A271">
        <v>270</v>
      </c>
      <c r="B271" t="s">
        <v>17</v>
      </c>
      <c r="C271" t="s">
        <v>512</v>
      </c>
      <c r="D271" t="s">
        <v>304</v>
      </c>
      <c r="E271">
        <v>19240300601</v>
      </c>
      <c r="F271" t="s">
        <v>36</v>
      </c>
      <c r="G271" t="s">
        <v>520</v>
      </c>
      <c r="H271" t="s">
        <v>520</v>
      </c>
      <c r="I271" t="s">
        <v>519</v>
      </c>
      <c r="J271" t="s">
        <v>519</v>
      </c>
      <c r="K271">
        <v>3</v>
      </c>
      <c r="L271">
        <v>1</v>
      </c>
    </row>
    <row r="272" spans="1:12" x14ac:dyDescent="0.2">
      <c r="A272">
        <v>271</v>
      </c>
      <c r="B272" t="s">
        <v>17</v>
      </c>
      <c r="C272" t="s">
        <v>510</v>
      </c>
      <c r="D272" t="s">
        <v>305</v>
      </c>
      <c r="E272">
        <v>19240207001</v>
      </c>
      <c r="F272" t="s">
        <v>35</v>
      </c>
      <c r="G272" t="s">
        <v>520</v>
      </c>
      <c r="H272" t="s">
        <v>520</v>
      </c>
      <c r="I272" t="s">
        <v>519</v>
      </c>
      <c r="J272" t="s">
        <v>519</v>
      </c>
      <c r="K272">
        <v>1</v>
      </c>
      <c r="L272">
        <v>1</v>
      </c>
    </row>
    <row r="273" spans="1:12" x14ac:dyDescent="0.2">
      <c r="A273">
        <v>272</v>
      </c>
      <c r="B273" t="s">
        <v>17</v>
      </c>
      <c r="C273" t="s">
        <v>510</v>
      </c>
      <c r="D273" t="s">
        <v>306</v>
      </c>
      <c r="E273">
        <v>19240202001</v>
      </c>
      <c r="F273" t="s">
        <v>36</v>
      </c>
      <c r="G273" t="s">
        <v>519</v>
      </c>
      <c r="H273" t="s">
        <v>520</v>
      </c>
      <c r="I273" t="s">
        <v>520</v>
      </c>
      <c r="J273" t="s">
        <v>519</v>
      </c>
      <c r="K273">
        <v>1</v>
      </c>
      <c r="L273">
        <v>1</v>
      </c>
    </row>
    <row r="274" spans="1:12" x14ac:dyDescent="0.2">
      <c r="A274">
        <v>273</v>
      </c>
      <c r="B274" t="s">
        <v>17</v>
      </c>
      <c r="C274" t="s">
        <v>510</v>
      </c>
      <c r="D274" t="s">
        <v>307</v>
      </c>
      <c r="E274">
        <v>19240203001</v>
      </c>
      <c r="F274" t="s">
        <v>36</v>
      </c>
      <c r="G274" t="s">
        <v>519</v>
      </c>
      <c r="H274" t="s">
        <v>520</v>
      </c>
      <c r="I274" t="s">
        <v>520</v>
      </c>
      <c r="J274" t="s">
        <v>519</v>
      </c>
      <c r="K274">
        <v>3</v>
      </c>
      <c r="L274">
        <v>4</v>
      </c>
    </row>
    <row r="275" spans="1:12" x14ac:dyDescent="0.2">
      <c r="A275">
        <v>274</v>
      </c>
      <c r="B275" t="s">
        <v>17</v>
      </c>
      <c r="C275" t="s">
        <v>510</v>
      </c>
      <c r="D275" t="s">
        <v>308</v>
      </c>
      <c r="E275">
        <v>19240201202</v>
      </c>
      <c r="F275" t="s">
        <v>36</v>
      </c>
      <c r="G275" t="s">
        <v>520</v>
      </c>
      <c r="H275" t="s">
        <v>519</v>
      </c>
      <c r="I275" t="s">
        <v>520</v>
      </c>
      <c r="J275" t="s">
        <v>519</v>
      </c>
      <c r="K275">
        <v>1</v>
      </c>
      <c r="L275">
        <v>1</v>
      </c>
    </row>
    <row r="276" spans="1:12" x14ac:dyDescent="0.2">
      <c r="A276">
        <v>275</v>
      </c>
      <c r="B276" t="s">
        <v>17</v>
      </c>
      <c r="C276" t="s">
        <v>510</v>
      </c>
      <c r="D276" t="s">
        <v>309</v>
      </c>
      <c r="E276">
        <v>19240204101</v>
      </c>
      <c r="F276" t="s">
        <v>35</v>
      </c>
      <c r="G276" t="s">
        <v>520</v>
      </c>
      <c r="H276" t="s">
        <v>520</v>
      </c>
      <c r="I276" t="s">
        <v>519</v>
      </c>
      <c r="J276" t="s">
        <v>519</v>
      </c>
      <c r="K276">
        <v>1</v>
      </c>
      <c r="L276">
        <v>1</v>
      </c>
    </row>
    <row r="277" spans="1:12" x14ac:dyDescent="0.2">
      <c r="A277">
        <v>276</v>
      </c>
      <c r="B277" t="s">
        <v>17</v>
      </c>
      <c r="C277" t="s">
        <v>510</v>
      </c>
      <c r="D277" t="s">
        <v>310</v>
      </c>
      <c r="E277">
        <v>19240206502</v>
      </c>
      <c r="F277" t="s">
        <v>36</v>
      </c>
      <c r="G277" t="s">
        <v>520</v>
      </c>
      <c r="H277" t="s">
        <v>519</v>
      </c>
      <c r="I277" t="s">
        <v>520</v>
      </c>
      <c r="J277" t="s">
        <v>519</v>
      </c>
      <c r="K277">
        <v>1</v>
      </c>
      <c r="L277">
        <v>1</v>
      </c>
    </row>
    <row r="278" spans="1:12" x14ac:dyDescent="0.2">
      <c r="A278">
        <v>277</v>
      </c>
      <c r="B278" t="s">
        <v>17</v>
      </c>
      <c r="C278" t="s">
        <v>512</v>
      </c>
      <c r="D278" t="s">
        <v>311</v>
      </c>
      <c r="E278">
        <v>19240300102</v>
      </c>
      <c r="F278" t="s">
        <v>37</v>
      </c>
      <c r="G278" t="s">
        <v>520</v>
      </c>
      <c r="H278" t="s">
        <v>519</v>
      </c>
      <c r="I278" t="s">
        <v>519</v>
      </c>
      <c r="J278" t="s">
        <v>519</v>
      </c>
      <c r="K278">
        <v>3</v>
      </c>
      <c r="L278">
        <v>1</v>
      </c>
    </row>
    <row r="279" spans="1:12" x14ac:dyDescent="0.2">
      <c r="A279">
        <v>278</v>
      </c>
      <c r="B279" t="s">
        <v>17</v>
      </c>
      <c r="C279" t="s">
        <v>510</v>
      </c>
      <c r="D279" t="s">
        <v>312</v>
      </c>
      <c r="E279">
        <v>19240206901</v>
      </c>
      <c r="F279" t="s">
        <v>35</v>
      </c>
      <c r="G279" t="s">
        <v>520</v>
      </c>
      <c r="H279" t="s">
        <v>519</v>
      </c>
      <c r="I279" t="s">
        <v>520</v>
      </c>
      <c r="J279" t="s">
        <v>519</v>
      </c>
      <c r="K279">
        <v>2</v>
      </c>
      <c r="L279">
        <v>2</v>
      </c>
    </row>
    <row r="280" spans="1:12" x14ac:dyDescent="0.2">
      <c r="A280">
        <v>279</v>
      </c>
      <c r="B280" t="s">
        <v>17</v>
      </c>
      <c r="C280" t="s">
        <v>510</v>
      </c>
      <c r="D280" t="s">
        <v>313</v>
      </c>
      <c r="E280">
        <v>19240205901</v>
      </c>
      <c r="F280" t="s">
        <v>37</v>
      </c>
      <c r="G280" t="s">
        <v>519</v>
      </c>
      <c r="H280" t="s">
        <v>519</v>
      </c>
      <c r="I280" t="s">
        <v>520</v>
      </c>
      <c r="J280" t="s">
        <v>519</v>
      </c>
      <c r="K280">
        <v>1</v>
      </c>
      <c r="L280">
        <v>1</v>
      </c>
    </row>
    <row r="281" spans="1:12" x14ac:dyDescent="0.2">
      <c r="A281">
        <v>280</v>
      </c>
      <c r="B281" t="s">
        <v>17</v>
      </c>
      <c r="C281" t="s">
        <v>510</v>
      </c>
      <c r="D281" t="s">
        <v>314</v>
      </c>
      <c r="E281">
        <v>19240201905</v>
      </c>
      <c r="F281" t="s">
        <v>36</v>
      </c>
      <c r="G281" t="s">
        <v>519</v>
      </c>
      <c r="H281" t="s">
        <v>520</v>
      </c>
      <c r="I281" t="s">
        <v>520</v>
      </c>
      <c r="J281" t="s">
        <v>519</v>
      </c>
      <c r="K281">
        <v>3</v>
      </c>
      <c r="L281">
        <v>1</v>
      </c>
    </row>
    <row r="282" spans="1:12" x14ac:dyDescent="0.2">
      <c r="A282">
        <v>281</v>
      </c>
      <c r="B282" t="s">
        <v>17</v>
      </c>
      <c r="C282" t="s">
        <v>510</v>
      </c>
      <c r="D282" t="s">
        <v>315</v>
      </c>
      <c r="E282">
        <v>19240204503</v>
      </c>
      <c r="F282" t="s">
        <v>35</v>
      </c>
      <c r="G282" t="s">
        <v>520</v>
      </c>
      <c r="H282" t="s">
        <v>519</v>
      </c>
      <c r="I282" t="s">
        <v>520</v>
      </c>
      <c r="J282" t="s">
        <v>519</v>
      </c>
      <c r="K282">
        <v>1</v>
      </c>
      <c r="L282">
        <v>1</v>
      </c>
    </row>
    <row r="283" spans="1:12" x14ac:dyDescent="0.2">
      <c r="A283">
        <v>282</v>
      </c>
      <c r="B283" t="s">
        <v>17</v>
      </c>
      <c r="C283" t="s">
        <v>510</v>
      </c>
      <c r="D283" t="s">
        <v>316</v>
      </c>
      <c r="E283">
        <v>19240207502</v>
      </c>
      <c r="F283" t="s">
        <v>36</v>
      </c>
      <c r="G283" t="s">
        <v>520</v>
      </c>
      <c r="H283" t="s">
        <v>519</v>
      </c>
      <c r="I283" t="s">
        <v>520</v>
      </c>
      <c r="J283" t="s">
        <v>519</v>
      </c>
      <c r="K283">
        <v>1</v>
      </c>
      <c r="L283">
        <v>4</v>
      </c>
    </row>
    <row r="284" spans="1:12" x14ac:dyDescent="0.2">
      <c r="A284">
        <v>283</v>
      </c>
      <c r="B284" t="s">
        <v>17</v>
      </c>
      <c r="C284" t="s">
        <v>510</v>
      </c>
      <c r="D284" t="s">
        <v>317</v>
      </c>
      <c r="E284">
        <v>19240208303</v>
      </c>
      <c r="F284" t="s">
        <v>36</v>
      </c>
      <c r="G284" t="s">
        <v>519</v>
      </c>
      <c r="H284" t="s">
        <v>520</v>
      </c>
      <c r="I284" t="s">
        <v>520</v>
      </c>
      <c r="J284" t="s">
        <v>519</v>
      </c>
      <c r="K284">
        <v>3</v>
      </c>
      <c r="L284">
        <v>2</v>
      </c>
    </row>
    <row r="285" spans="1:12" x14ac:dyDescent="0.2">
      <c r="A285">
        <v>284</v>
      </c>
      <c r="B285" t="s">
        <v>17</v>
      </c>
      <c r="C285" t="s">
        <v>510</v>
      </c>
      <c r="D285" t="s">
        <v>318</v>
      </c>
      <c r="E285">
        <v>19240206001</v>
      </c>
      <c r="F285" t="s">
        <v>36</v>
      </c>
      <c r="G285" t="s">
        <v>520</v>
      </c>
      <c r="H285" t="s">
        <v>519</v>
      </c>
      <c r="I285" t="s">
        <v>520</v>
      </c>
      <c r="J285" t="s">
        <v>519</v>
      </c>
      <c r="K285">
        <v>1</v>
      </c>
      <c r="L285">
        <v>1</v>
      </c>
    </row>
    <row r="286" spans="1:12" x14ac:dyDescent="0.2">
      <c r="A286">
        <v>285</v>
      </c>
      <c r="B286" t="s">
        <v>17</v>
      </c>
      <c r="C286" t="s">
        <v>510</v>
      </c>
      <c r="D286" t="s">
        <v>319</v>
      </c>
      <c r="E286">
        <v>19240201501</v>
      </c>
      <c r="F286" t="s">
        <v>35</v>
      </c>
      <c r="G286" t="s">
        <v>520</v>
      </c>
      <c r="H286" t="s">
        <v>520</v>
      </c>
      <c r="I286" t="s">
        <v>519</v>
      </c>
      <c r="J286" t="s">
        <v>519</v>
      </c>
      <c r="K286">
        <v>1</v>
      </c>
      <c r="L286">
        <v>1</v>
      </c>
    </row>
    <row r="287" spans="1:12" x14ac:dyDescent="0.2">
      <c r="A287">
        <v>286</v>
      </c>
      <c r="B287" t="s">
        <v>17</v>
      </c>
      <c r="C287" t="s">
        <v>510</v>
      </c>
      <c r="D287" t="s">
        <v>320</v>
      </c>
      <c r="E287">
        <v>19240206501</v>
      </c>
      <c r="F287" t="s">
        <v>36</v>
      </c>
      <c r="G287" t="s">
        <v>519</v>
      </c>
      <c r="H287" t="s">
        <v>520</v>
      </c>
      <c r="I287" t="s">
        <v>520</v>
      </c>
      <c r="J287" t="s">
        <v>519</v>
      </c>
      <c r="K287">
        <v>2</v>
      </c>
      <c r="L287">
        <v>1</v>
      </c>
    </row>
    <row r="288" spans="1:12" x14ac:dyDescent="0.2">
      <c r="A288">
        <v>287</v>
      </c>
      <c r="B288" t="s">
        <v>17</v>
      </c>
      <c r="C288" t="s">
        <v>510</v>
      </c>
      <c r="D288" t="s">
        <v>321</v>
      </c>
      <c r="E288">
        <v>19240200103</v>
      </c>
      <c r="F288" t="s">
        <v>37</v>
      </c>
      <c r="G288" t="s">
        <v>520</v>
      </c>
      <c r="H288" t="s">
        <v>520</v>
      </c>
      <c r="I288" t="s">
        <v>520</v>
      </c>
      <c r="J288" t="s">
        <v>519</v>
      </c>
      <c r="K288">
        <v>3</v>
      </c>
      <c r="L288">
        <v>1</v>
      </c>
    </row>
    <row r="289" spans="1:12" x14ac:dyDescent="0.2">
      <c r="A289">
        <v>288</v>
      </c>
      <c r="B289" t="s">
        <v>17</v>
      </c>
      <c r="C289" t="s">
        <v>510</v>
      </c>
      <c r="D289" t="s">
        <v>322</v>
      </c>
      <c r="E289">
        <v>19240201403</v>
      </c>
      <c r="F289" t="s">
        <v>35</v>
      </c>
      <c r="G289" t="s">
        <v>520</v>
      </c>
      <c r="H289" t="s">
        <v>520</v>
      </c>
      <c r="I289" t="s">
        <v>520</v>
      </c>
      <c r="J289" t="s">
        <v>519</v>
      </c>
      <c r="K289">
        <v>1</v>
      </c>
      <c r="L289">
        <v>1</v>
      </c>
    </row>
    <row r="290" spans="1:12" x14ac:dyDescent="0.2">
      <c r="A290">
        <v>289</v>
      </c>
      <c r="B290" t="s">
        <v>17</v>
      </c>
      <c r="C290" t="s">
        <v>510</v>
      </c>
      <c r="D290" t="s">
        <v>323</v>
      </c>
      <c r="E290">
        <v>19240201601</v>
      </c>
      <c r="F290" t="s">
        <v>37</v>
      </c>
      <c r="G290" t="s">
        <v>520</v>
      </c>
      <c r="H290" t="s">
        <v>520</v>
      </c>
      <c r="I290" t="s">
        <v>519</v>
      </c>
      <c r="J290" t="s">
        <v>519</v>
      </c>
      <c r="K290">
        <v>1</v>
      </c>
      <c r="L290">
        <v>2</v>
      </c>
    </row>
    <row r="291" spans="1:12" x14ac:dyDescent="0.2">
      <c r="A291">
        <v>290</v>
      </c>
      <c r="B291" t="s">
        <v>17</v>
      </c>
      <c r="C291" t="s">
        <v>510</v>
      </c>
      <c r="D291" t="s">
        <v>324</v>
      </c>
      <c r="E291">
        <v>19240200403</v>
      </c>
      <c r="F291" t="s">
        <v>36</v>
      </c>
      <c r="G291" t="s">
        <v>520</v>
      </c>
      <c r="H291" t="s">
        <v>520</v>
      </c>
      <c r="I291" t="s">
        <v>519</v>
      </c>
      <c r="J291" t="s">
        <v>519</v>
      </c>
      <c r="K291">
        <v>1</v>
      </c>
      <c r="L291">
        <v>1</v>
      </c>
    </row>
    <row r="292" spans="1:12" x14ac:dyDescent="0.2">
      <c r="A292">
        <v>291</v>
      </c>
      <c r="B292" t="s">
        <v>17</v>
      </c>
      <c r="C292" t="s">
        <v>510</v>
      </c>
      <c r="D292" t="s">
        <v>325</v>
      </c>
      <c r="E292">
        <v>19240200301</v>
      </c>
      <c r="F292" t="s">
        <v>35</v>
      </c>
      <c r="G292" t="s">
        <v>519</v>
      </c>
      <c r="H292" t="s">
        <v>520</v>
      </c>
      <c r="I292" t="s">
        <v>520</v>
      </c>
      <c r="J292" t="s">
        <v>519</v>
      </c>
      <c r="K292">
        <v>0</v>
      </c>
      <c r="L292">
        <v>5</v>
      </c>
    </row>
    <row r="293" spans="1:12" x14ac:dyDescent="0.2">
      <c r="A293">
        <v>292</v>
      </c>
      <c r="B293" t="s">
        <v>17</v>
      </c>
      <c r="C293" t="s">
        <v>510</v>
      </c>
      <c r="D293" t="s">
        <v>326</v>
      </c>
      <c r="E293">
        <v>19240207602</v>
      </c>
      <c r="F293" t="s">
        <v>36</v>
      </c>
      <c r="G293" t="s">
        <v>519</v>
      </c>
      <c r="H293" t="s">
        <v>519</v>
      </c>
      <c r="I293" t="s">
        <v>520</v>
      </c>
      <c r="J293" t="s">
        <v>519</v>
      </c>
      <c r="K293">
        <v>2</v>
      </c>
      <c r="L293">
        <v>2</v>
      </c>
    </row>
    <row r="294" spans="1:12" x14ac:dyDescent="0.2">
      <c r="A294">
        <v>293</v>
      </c>
      <c r="B294" t="s">
        <v>17</v>
      </c>
      <c r="C294" t="s">
        <v>510</v>
      </c>
      <c r="D294" t="s">
        <v>327</v>
      </c>
      <c r="E294">
        <v>19240200901</v>
      </c>
      <c r="F294" t="s">
        <v>36</v>
      </c>
      <c r="G294" t="s">
        <v>520</v>
      </c>
      <c r="H294" t="s">
        <v>520</v>
      </c>
      <c r="I294" t="s">
        <v>520</v>
      </c>
      <c r="J294" t="s">
        <v>519</v>
      </c>
      <c r="K294">
        <v>3</v>
      </c>
      <c r="L294">
        <v>3</v>
      </c>
    </row>
    <row r="295" spans="1:12" x14ac:dyDescent="0.2">
      <c r="A295">
        <v>294</v>
      </c>
      <c r="B295" t="s">
        <v>17</v>
      </c>
      <c r="C295" t="s">
        <v>510</v>
      </c>
      <c r="D295" t="s">
        <v>328</v>
      </c>
      <c r="E295">
        <v>19240205201</v>
      </c>
      <c r="F295" t="s">
        <v>36</v>
      </c>
      <c r="G295" t="s">
        <v>520</v>
      </c>
      <c r="H295" t="s">
        <v>519</v>
      </c>
      <c r="I295" t="s">
        <v>520</v>
      </c>
      <c r="J295" t="s">
        <v>519</v>
      </c>
      <c r="K295">
        <v>4</v>
      </c>
      <c r="L295">
        <v>1</v>
      </c>
    </row>
    <row r="296" spans="1:12" x14ac:dyDescent="0.2">
      <c r="A296">
        <v>295</v>
      </c>
      <c r="B296" t="s">
        <v>17</v>
      </c>
      <c r="C296" t="s">
        <v>510</v>
      </c>
      <c r="D296" t="s">
        <v>329</v>
      </c>
      <c r="E296">
        <v>19240202805</v>
      </c>
      <c r="F296" t="s">
        <v>35</v>
      </c>
      <c r="G296" t="s">
        <v>519</v>
      </c>
      <c r="H296" t="s">
        <v>520</v>
      </c>
      <c r="I296" t="s">
        <v>520</v>
      </c>
      <c r="J296" t="s">
        <v>519</v>
      </c>
      <c r="K296">
        <v>1</v>
      </c>
      <c r="L296">
        <v>1</v>
      </c>
    </row>
    <row r="297" spans="1:12" x14ac:dyDescent="0.2">
      <c r="A297">
        <v>296</v>
      </c>
      <c r="B297" t="s">
        <v>17</v>
      </c>
      <c r="C297" t="s">
        <v>510</v>
      </c>
      <c r="D297" t="s">
        <v>330</v>
      </c>
      <c r="E297">
        <v>19240205203</v>
      </c>
      <c r="F297" t="s">
        <v>36</v>
      </c>
      <c r="G297" t="s">
        <v>519</v>
      </c>
      <c r="H297" t="s">
        <v>519</v>
      </c>
      <c r="I297" t="s">
        <v>520</v>
      </c>
      <c r="J297" t="s">
        <v>519</v>
      </c>
      <c r="K297">
        <v>1</v>
      </c>
      <c r="L297">
        <v>2</v>
      </c>
    </row>
    <row r="298" spans="1:12" x14ac:dyDescent="0.2">
      <c r="A298">
        <v>297</v>
      </c>
      <c r="B298" t="s">
        <v>17</v>
      </c>
      <c r="C298" t="s">
        <v>510</v>
      </c>
      <c r="D298" t="s">
        <v>331</v>
      </c>
      <c r="E298">
        <v>19240204402</v>
      </c>
      <c r="F298" t="s">
        <v>37</v>
      </c>
      <c r="G298" t="s">
        <v>519</v>
      </c>
      <c r="H298" t="s">
        <v>520</v>
      </c>
      <c r="I298" t="s">
        <v>520</v>
      </c>
      <c r="J298" t="s">
        <v>519</v>
      </c>
      <c r="K298">
        <v>1</v>
      </c>
      <c r="L298">
        <v>1</v>
      </c>
    </row>
    <row r="299" spans="1:12" x14ac:dyDescent="0.2">
      <c r="A299">
        <v>298</v>
      </c>
      <c r="B299" t="s">
        <v>17</v>
      </c>
      <c r="C299" t="s">
        <v>510</v>
      </c>
      <c r="D299" t="s">
        <v>332</v>
      </c>
      <c r="E299">
        <v>19240200707</v>
      </c>
      <c r="F299" t="s">
        <v>35</v>
      </c>
      <c r="G299" t="s">
        <v>520</v>
      </c>
      <c r="H299" t="s">
        <v>520</v>
      </c>
      <c r="I299" t="s">
        <v>520</v>
      </c>
      <c r="J299" t="s">
        <v>519</v>
      </c>
      <c r="K299">
        <v>1</v>
      </c>
      <c r="L299">
        <v>1</v>
      </c>
    </row>
    <row r="300" spans="1:12" x14ac:dyDescent="0.2">
      <c r="A300">
        <v>299</v>
      </c>
      <c r="B300" t="s">
        <v>17</v>
      </c>
      <c r="C300" t="s">
        <v>510</v>
      </c>
      <c r="D300" t="s">
        <v>333</v>
      </c>
      <c r="E300">
        <v>19240206701</v>
      </c>
      <c r="F300" t="s">
        <v>37</v>
      </c>
      <c r="G300" t="s">
        <v>519</v>
      </c>
      <c r="H300" t="s">
        <v>520</v>
      </c>
      <c r="I300" t="s">
        <v>520</v>
      </c>
      <c r="J300" t="s">
        <v>519</v>
      </c>
      <c r="K300">
        <v>1</v>
      </c>
      <c r="L300">
        <v>1</v>
      </c>
    </row>
    <row r="301" spans="1:12" x14ac:dyDescent="0.2">
      <c r="A301">
        <v>300</v>
      </c>
      <c r="B301" t="s">
        <v>17</v>
      </c>
      <c r="C301" t="s">
        <v>510</v>
      </c>
      <c r="D301" t="s">
        <v>334</v>
      </c>
      <c r="E301">
        <v>19240205102</v>
      </c>
      <c r="F301" t="s">
        <v>36</v>
      </c>
      <c r="G301" t="s">
        <v>519</v>
      </c>
      <c r="H301" t="s">
        <v>519</v>
      </c>
      <c r="I301" t="s">
        <v>520</v>
      </c>
      <c r="J301" t="s">
        <v>519</v>
      </c>
      <c r="K301">
        <v>1</v>
      </c>
      <c r="L301">
        <v>1</v>
      </c>
    </row>
    <row r="302" spans="1:12" x14ac:dyDescent="0.2">
      <c r="A302">
        <v>301</v>
      </c>
      <c r="B302" t="s">
        <v>17</v>
      </c>
      <c r="C302" t="s">
        <v>510</v>
      </c>
      <c r="D302" t="s">
        <v>335</v>
      </c>
      <c r="E302">
        <v>19240202502</v>
      </c>
      <c r="F302" t="s">
        <v>35</v>
      </c>
      <c r="G302" t="s">
        <v>520</v>
      </c>
      <c r="H302" t="s">
        <v>520</v>
      </c>
      <c r="I302" t="s">
        <v>520</v>
      </c>
      <c r="J302" t="s">
        <v>519</v>
      </c>
      <c r="K302">
        <v>1</v>
      </c>
      <c r="L302">
        <v>1</v>
      </c>
    </row>
    <row r="303" spans="1:12" x14ac:dyDescent="0.2">
      <c r="A303">
        <v>302</v>
      </c>
      <c r="B303" t="s">
        <v>17</v>
      </c>
      <c r="C303" t="s">
        <v>510</v>
      </c>
      <c r="D303" t="s">
        <v>336</v>
      </c>
      <c r="E303">
        <v>19240202506</v>
      </c>
      <c r="F303" t="s">
        <v>36</v>
      </c>
      <c r="G303" t="s">
        <v>519</v>
      </c>
      <c r="H303" t="s">
        <v>520</v>
      </c>
      <c r="I303" t="s">
        <v>520</v>
      </c>
      <c r="J303" t="s">
        <v>519</v>
      </c>
      <c r="K303">
        <v>1</v>
      </c>
      <c r="L303">
        <v>1</v>
      </c>
    </row>
    <row r="304" spans="1:12" x14ac:dyDescent="0.2">
      <c r="A304">
        <v>303</v>
      </c>
      <c r="B304" t="s">
        <v>17</v>
      </c>
      <c r="C304" t="s">
        <v>510</v>
      </c>
      <c r="D304" t="s">
        <v>337</v>
      </c>
      <c r="E304">
        <v>19240207801</v>
      </c>
      <c r="F304" t="s">
        <v>36</v>
      </c>
      <c r="G304" t="s">
        <v>520</v>
      </c>
      <c r="H304" t="s">
        <v>520</v>
      </c>
      <c r="I304" t="s">
        <v>520</v>
      </c>
      <c r="J304" t="s">
        <v>519</v>
      </c>
      <c r="K304">
        <v>1</v>
      </c>
      <c r="L304">
        <v>1</v>
      </c>
    </row>
    <row r="305" spans="1:12" x14ac:dyDescent="0.2">
      <c r="A305">
        <v>304</v>
      </c>
      <c r="B305" t="s">
        <v>17</v>
      </c>
      <c r="C305" t="s">
        <v>510</v>
      </c>
      <c r="D305" t="s">
        <v>338</v>
      </c>
      <c r="E305">
        <v>19240200706</v>
      </c>
      <c r="F305" t="s">
        <v>36</v>
      </c>
      <c r="G305" t="s">
        <v>520</v>
      </c>
      <c r="H305" t="s">
        <v>520</v>
      </c>
      <c r="I305" t="s">
        <v>519</v>
      </c>
      <c r="J305" t="s">
        <v>519</v>
      </c>
      <c r="K305">
        <v>1</v>
      </c>
      <c r="L305">
        <v>1</v>
      </c>
    </row>
    <row r="306" spans="1:12" x14ac:dyDescent="0.2">
      <c r="A306">
        <v>305</v>
      </c>
      <c r="B306" t="s">
        <v>17</v>
      </c>
      <c r="C306" t="s">
        <v>510</v>
      </c>
      <c r="D306" t="s">
        <v>339</v>
      </c>
      <c r="E306">
        <v>19240206301</v>
      </c>
      <c r="F306" t="s">
        <v>35</v>
      </c>
      <c r="G306" t="s">
        <v>520</v>
      </c>
      <c r="H306" t="s">
        <v>519</v>
      </c>
      <c r="I306" t="s">
        <v>520</v>
      </c>
      <c r="J306" t="s">
        <v>519</v>
      </c>
      <c r="K306">
        <v>2</v>
      </c>
      <c r="L306">
        <v>2</v>
      </c>
    </row>
    <row r="307" spans="1:12" x14ac:dyDescent="0.2">
      <c r="A307">
        <v>306</v>
      </c>
      <c r="B307" t="s">
        <v>17</v>
      </c>
      <c r="C307" t="s">
        <v>510</v>
      </c>
      <c r="D307" t="s">
        <v>340</v>
      </c>
      <c r="E307">
        <v>19240203901</v>
      </c>
      <c r="F307" t="s">
        <v>36</v>
      </c>
      <c r="G307" t="s">
        <v>520</v>
      </c>
      <c r="H307" t="s">
        <v>520</v>
      </c>
      <c r="I307" t="s">
        <v>519</v>
      </c>
      <c r="J307" t="s">
        <v>519</v>
      </c>
      <c r="K307">
        <v>1</v>
      </c>
      <c r="L307">
        <v>1</v>
      </c>
    </row>
    <row r="308" spans="1:12" x14ac:dyDescent="0.2">
      <c r="A308">
        <v>307</v>
      </c>
      <c r="B308" t="s">
        <v>17</v>
      </c>
      <c r="C308" t="s">
        <v>512</v>
      </c>
      <c r="D308" t="s">
        <v>341</v>
      </c>
      <c r="E308">
        <v>19240303303</v>
      </c>
      <c r="F308" t="s">
        <v>37</v>
      </c>
      <c r="G308" t="s">
        <v>519</v>
      </c>
      <c r="H308" t="s">
        <v>520</v>
      </c>
      <c r="I308" t="s">
        <v>520</v>
      </c>
      <c r="J308" t="s">
        <v>519</v>
      </c>
      <c r="K308">
        <v>1</v>
      </c>
      <c r="L308">
        <v>1</v>
      </c>
    </row>
    <row r="309" spans="1:12" x14ac:dyDescent="0.2">
      <c r="A309">
        <v>308</v>
      </c>
      <c r="B309" t="s">
        <v>17</v>
      </c>
      <c r="C309" t="s">
        <v>512</v>
      </c>
      <c r="D309" t="s">
        <v>342</v>
      </c>
      <c r="E309">
        <v>19240304402</v>
      </c>
      <c r="F309" t="s">
        <v>35</v>
      </c>
      <c r="G309" t="s">
        <v>519</v>
      </c>
      <c r="H309" t="s">
        <v>520</v>
      </c>
      <c r="I309" t="s">
        <v>520</v>
      </c>
      <c r="J309" t="s">
        <v>519</v>
      </c>
      <c r="K309">
        <v>1</v>
      </c>
      <c r="L309">
        <v>1</v>
      </c>
    </row>
    <row r="310" spans="1:12" x14ac:dyDescent="0.2">
      <c r="A310">
        <v>309</v>
      </c>
      <c r="B310" t="s">
        <v>17</v>
      </c>
      <c r="C310" t="s">
        <v>512</v>
      </c>
      <c r="D310" t="s">
        <v>343</v>
      </c>
      <c r="E310">
        <v>19240306603</v>
      </c>
      <c r="F310" t="s">
        <v>37</v>
      </c>
      <c r="G310" t="s">
        <v>519</v>
      </c>
      <c r="H310" t="s">
        <v>520</v>
      </c>
      <c r="I310" t="s">
        <v>520</v>
      </c>
      <c r="J310" t="s">
        <v>519</v>
      </c>
      <c r="K310">
        <v>1</v>
      </c>
      <c r="L310">
        <v>2</v>
      </c>
    </row>
    <row r="311" spans="1:12" x14ac:dyDescent="0.2">
      <c r="A311">
        <v>310</v>
      </c>
      <c r="B311" t="s">
        <v>17</v>
      </c>
      <c r="C311" t="s">
        <v>510</v>
      </c>
      <c r="D311" t="s">
        <v>344</v>
      </c>
      <c r="E311">
        <v>19240207201</v>
      </c>
      <c r="F311" t="s">
        <v>36</v>
      </c>
      <c r="G311" t="s">
        <v>520</v>
      </c>
      <c r="H311" t="s">
        <v>520</v>
      </c>
      <c r="I311" t="s">
        <v>520</v>
      </c>
      <c r="J311" t="s">
        <v>519</v>
      </c>
      <c r="K311">
        <v>2</v>
      </c>
      <c r="L311">
        <v>3</v>
      </c>
    </row>
    <row r="312" spans="1:12" x14ac:dyDescent="0.2">
      <c r="A312">
        <v>311</v>
      </c>
      <c r="B312" t="s">
        <v>17</v>
      </c>
      <c r="C312" t="s">
        <v>512</v>
      </c>
      <c r="D312" t="s">
        <v>345</v>
      </c>
      <c r="E312">
        <v>19240307001</v>
      </c>
      <c r="F312" t="s">
        <v>35</v>
      </c>
      <c r="G312" t="s">
        <v>519</v>
      </c>
      <c r="H312" t="s">
        <v>520</v>
      </c>
      <c r="I312" t="s">
        <v>520</v>
      </c>
      <c r="J312" t="s">
        <v>519</v>
      </c>
      <c r="K312">
        <v>1</v>
      </c>
      <c r="L312">
        <v>1</v>
      </c>
    </row>
    <row r="313" spans="1:12" x14ac:dyDescent="0.2">
      <c r="A313">
        <v>312</v>
      </c>
      <c r="B313" t="s">
        <v>17</v>
      </c>
      <c r="C313" t="s">
        <v>512</v>
      </c>
      <c r="D313" t="s">
        <v>346</v>
      </c>
      <c r="E313">
        <v>19240302806</v>
      </c>
      <c r="F313" t="s">
        <v>36</v>
      </c>
      <c r="G313" t="s">
        <v>519</v>
      </c>
      <c r="H313" t="s">
        <v>520</v>
      </c>
      <c r="I313" t="s">
        <v>520</v>
      </c>
      <c r="J313" t="s">
        <v>519</v>
      </c>
      <c r="K313">
        <v>3</v>
      </c>
      <c r="L313">
        <v>1</v>
      </c>
    </row>
    <row r="314" spans="1:12" x14ac:dyDescent="0.2">
      <c r="A314">
        <v>313</v>
      </c>
      <c r="B314" t="s">
        <v>17</v>
      </c>
      <c r="C314" t="s">
        <v>512</v>
      </c>
      <c r="D314" t="s">
        <v>347</v>
      </c>
      <c r="E314">
        <v>19240304901</v>
      </c>
      <c r="F314" t="s">
        <v>36</v>
      </c>
      <c r="G314" t="s">
        <v>520</v>
      </c>
      <c r="H314" t="s">
        <v>520</v>
      </c>
      <c r="I314" t="s">
        <v>519</v>
      </c>
      <c r="J314" t="s">
        <v>519</v>
      </c>
      <c r="K314">
        <v>2</v>
      </c>
      <c r="L314">
        <v>1</v>
      </c>
    </row>
    <row r="315" spans="1:12" x14ac:dyDescent="0.2">
      <c r="A315">
        <v>314</v>
      </c>
      <c r="B315" t="s">
        <v>17</v>
      </c>
      <c r="C315" t="s">
        <v>512</v>
      </c>
      <c r="D315" t="s">
        <v>348</v>
      </c>
      <c r="E315">
        <v>19240301401</v>
      </c>
      <c r="F315" t="s">
        <v>36</v>
      </c>
      <c r="G315" t="s">
        <v>520</v>
      </c>
      <c r="H315" t="s">
        <v>519</v>
      </c>
      <c r="I315" t="s">
        <v>520</v>
      </c>
      <c r="J315" t="s">
        <v>519</v>
      </c>
      <c r="K315">
        <v>3</v>
      </c>
      <c r="L315">
        <v>2</v>
      </c>
    </row>
    <row r="316" spans="1:12" x14ac:dyDescent="0.2">
      <c r="A316">
        <v>315</v>
      </c>
      <c r="B316" t="s">
        <v>17</v>
      </c>
      <c r="C316" t="s">
        <v>512</v>
      </c>
      <c r="D316" t="s">
        <v>349</v>
      </c>
      <c r="E316">
        <v>19240302810</v>
      </c>
      <c r="F316" t="s">
        <v>35</v>
      </c>
      <c r="G316" t="s">
        <v>519</v>
      </c>
      <c r="H316" t="s">
        <v>520</v>
      </c>
      <c r="I316" t="s">
        <v>520</v>
      </c>
      <c r="J316" t="s">
        <v>519</v>
      </c>
      <c r="K316">
        <v>1</v>
      </c>
      <c r="L316">
        <v>1</v>
      </c>
    </row>
    <row r="317" spans="1:12" x14ac:dyDescent="0.2">
      <c r="A317">
        <v>316</v>
      </c>
      <c r="B317" t="s">
        <v>17</v>
      </c>
      <c r="C317" t="s">
        <v>512</v>
      </c>
      <c r="D317" t="s">
        <v>350</v>
      </c>
      <c r="E317">
        <v>19240302801</v>
      </c>
      <c r="F317" t="s">
        <v>36</v>
      </c>
      <c r="G317" t="s">
        <v>519</v>
      </c>
      <c r="H317" t="s">
        <v>520</v>
      </c>
      <c r="I317" t="s">
        <v>520</v>
      </c>
      <c r="J317" t="s">
        <v>519</v>
      </c>
      <c r="K317">
        <v>3</v>
      </c>
      <c r="L317">
        <v>2</v>
      </c>
    </row>
    <row r="318" spans="1:12" x14ac:dyDescent="0.2">
      <c r="A318">
        <v>317</v>
      </c>
      <c r="B318" t="s">
        <v>17</v>
      </c>
      <c r="C318" t="s">
        <v>512</v>
      </c>
      <c r="D318" t="s">
        <v>351</v>
      </c>
      <c r="E318">
        <v>19240307101</v>
      </c>
      <c r="F318" t="s">
        <v>37</v>
      </c>
      <c r="G318" t="s">
        <v>520</v>
      </c>
      <c r="H318" t="s">
        <v>519</v>
      </c>
      <c r="I318" t="s">
        <v>520</v>
      </c>
      <c r="J318" t="s">
        <v>519</v>
      </c>
      <c r="K318">
        <v>1</v>
      </c>
      <c r="L318">
        <v>1</v>
      </c>
    </row>
    <row r="319" spans="1:12" x14ac:dyDescent="0.2">
      <c r="A319">
        <v>318</v>
      </c>
      <c r="B319" t="s">
        <v>17</v>
      </c>
      <c r="C319" t="s">
        <v>512</v>
      </c>
      <c r="D319" t="s">
        <v>352</v>
      </c>
      <c r="E319">
        <v>19240305504</v>
      </c>
      <c r="F319" t="s">
        <v>35</v>
      </c>
      <c r="G319" t="s">
        <v>519</v>
      </c>
      <c r="H319" t="s">
        <v>520</v>
      </c>
      <c r="I319" t="s">
        <v>520</v>
      </c>
      <c r="J319" t="s">
        <v>519</v>
      </c>
      <c r="K319">
        <v>1</v>
      </c>
      <c r="L319">
        <v>1</v>
      </c>
    </row>
    <row r="320" spans="1:12" x14ac:dyDescent="0.2">
      <c r="A320">
        <v>319</v>
      </c>
      <c r="B320" t="s">
        <v>17</v>
      </c>
      <c r="C320" t="s">
        <v>512</v>
      </c>
      <c r="D320" t="s">
        <v>353</v>
      </c>
      <c r="E320">
        <v>19240305402</v>
      </c>
      <c r="F320" t="s">
        <v>37</v>
      </c>
      <c r="G320" t="s">
        <v>520</v>
      </c>
      <c r="H320" t="s">
        <v>520</v>
      </c>
      <c r="I320" t="s">
        <v>519</v>
      </c>
      <c r="J320" t="s">
        <v>519</v>
      </c>
      <c r="K320">
        <v>1</v>
      </c>
      <c r="L320">
        <v>1</v>
      </c>
    </row>
    <row r="321" spans="1:12" x14ac:dyDescent="0.2">
      <c r="A321">
        <v>320</v>
      </c>
      <c r="B321" t="s">
        <v>17</v>
      </c>
      <c r="C321" t="s">
        <v>512</v>
      </c>
      <c r="D321" t="s">
        <v>354</v>
      </c>
      <c r="E321">
        <v>19240303204</v>
      </c>
      <c r="F321" t="s">
        <v>36</v>
      </c>
      <c r="G321" t="s">
        <v>520</v>
      </c>
      <c r="H321" t="s">
        <v>519</v>
      </c>
      <c r="I321" t="s">
        <v>520</v>
      </c>
      <c r="J321" t="s">
        <v>519</v>
      </c>
      <c r="K321">
        <v>1</v>
      </c>
      <c r="L321">
        <v>1</v>
      </c>
    </row>
    <row r="322" spans="1:12" x14ac:dyDescent="0.2">
      <c r="A322">
        <v>321</v>
      </c>
      <c r="B322" t="s">
        <v>17</v>
      </c>
      <c r="C322" t="s">
        <v>512</v>
      </c>
      <c r="D322" t="s">
        <v>355</v>
      </c>
      <c r="E322">
        <v>19240300301</v>
      </c>
      <c r="F322" t="s">
        <v>35</v>
      </c>
      <c r="G322" t="s">
        <v>520</v>
      </c>
      <c r="H322" t="s">
        <v>520</v>
      </c>
      <c r="I322" t="s">
        <v>519</v>
      </c>
      <c r="J322" t="s">
        <v>519</v>
      </c>
      <c r="K322">
        <v>1</v>
      </c>
      <c r="L322">
        <v>1</v>
      </c>
    </row>
    <row r="323" spans="1:12" x14ac:dyDescent="0.2">
      <c r="A323">
        <v>322</v>
      </c>
      <c r="B323" t="s">
        <v>17</v>
      </c>
      <c r="C323" t="s">
        <v>512</v>
      </c>
      <c r="D323" t="s">
        <v>356</v>
      </c>
      <c r="E323">
        <v>19240301402</v>
      </c>
      <c r="F323" t="s">
        <v>36</v>
      </c>
      <c r="G323" t="s">
        <v>520</v>
      </c>
      <c r="H323" t="s">
        <v>519</v>
      </c>
      <c r="I323" t="s">
        <v>520</v>
      </c>
      <c r="J323" t="s">
        <v>519</v>
      </c>
      <c r="K323">
        <v>2</v>
      </c>
      <c r="L323">
        <v>2</v>
      </c>
    </row>
    <row r="324" spans="1:12" x14ac:dyDescent="0.2">
      <c r="A324">
        <v>323</v>
      </c>
      <c r="B324" t="s">
        <v>17</v>
      </c>
      <c r="C324" t="s">
        <v>512</v>
      </c>
      <c r="D324" t="s">
        <v>357</v>
      </c>
      <c r="E324">
        <v>19240302301</v>
      </c>
      <c r="F324" t="s">
        <v>36</v>
      </c>
      <c r="G324" t="s">
        <v>519</v>
      </c>
      <c r="H324" t="s">
        <v>519</v>
      </c>
      <c r="I324" t="s">
        <v>520</v>
      </c>
      <c r="J324" t="s">
        <v>519</v>
      </c>
      <c r="K324">
        <v>3</v>
      </c>
      <c r="L324">
        <v>1</v>
      </c>
    </row>
    <row r="325" spans="1:12" x14ac:dyDescent="0.2">
      <c r="A325">
        <v>324</v>
      </c>
      <c r="B325" t="s">
        <v>17</v>
      </c>
      <c r="C325" t="s">
        <v>512</v>
      </c>
      <c r="D325" t="s">
        <v>358</v>
      </c>
      <c r="E325">
        <v>19240302302</v>
      </c>
      <c r="F325" t="s">
        <v>36</v>
      </c>
      <c r="G325" t="s">
        <v>519</v>
      </c>
      <c r="H325" t="s">
        <v>519</v>
      </c>
      <c r="I325" t="s">
        <v>520</v>
      </c>
      <c r="J325" t="s">
        <v>519</v>
      </c>
      <c r="K325">
        <v>1</v>
      </c>
      <c r="L325">
        <v>1</v>
      </c>
    </row>
    <row r="326" spans="1:12" x14ac:dyDescent="0.2">
      <c r="A326">
        <v>325</v>
      </c>
      <c r="B326" t="s">
        <v>17</v>
      </c>
      <c r="C326" t="s">
        <v>512</v>
      </c>
      <c r="D326" t="s">
        <v>359</v>
      </c>
      <c r="E326">
        <v>19240301203</v>
      </c>
      <c r="F326" t="s">
        <v>35</v>
      </c>
      <c r="G326" t="s">
        <v>520</v>
      </c>
      <c r="H326" t="s">
        <v>520</v>
      </c>
      <c r="I326" t="s">
        <v>520</v>
      </c>
      <c r="J326" t="s">
        <v>519</v>
      </c>
      <c r="K326">
        <v>2</v>
      </c>
      <c r="L326">
        <v>2</v>
      </c>
    </row>
    <row r="327" spans="1:12" x14ac:dyDescent="0.2">
      <c r="A327">
        <v>326</v>
      </c>
      <c r="B327" t="s">
        <v>17</v>
      </c>
      <c r="C327" t="s">
        <v>512</v>
      </c>
      <c r="D327" t="s">
        <v>360</v>
      </c>
      <c r="E327">
        <v>19240305101</v>
      </c>
      <c r="F327" t="s">
        <v>36</v>
      </c>
      <c r="G327" t="s">
        <v>519</v>
      </c>
      <c r="H327" t="s">
        <v>519</v>
      </c>
      <c r="I327" t="s">
        <v>520</v>
      </c>
      <c r="J327" t="s">
        <v>519</v>
      </c>
      <c r="K327">
        <v>3</v>
      </c>
      <c r="L327">
        <v>1</v>
      </c>
    </row>
    <row r="328" spans="1:12" x14ac:dyDescent="0.2">
      <c r="A328">
        <v>327</v>
      </c>
      <c r="B328" t="s">
        <v>17</v>
      </c>
      <c r="C328" t="s">
        <v>512</v>
      </c>
      <c r="D328" t="s">
        <v>361</v>
      </c>
      <c r="E328">
        <v>19240302204</v>
      </c>
      <c r="F328" t="s">
        <v>37</v>
      </c>
      <c r="G328" t="s">
        <v>520</v>
      </c>
      <c r="H328" t="s">
        <v>520</v>
      </c>
      <c r="I328" t="s">
        <v>520</v>
      </c>
      <c r="J328" t="s">
        <v>519</v>
      </c>
      <c r="K328">
        <v>2</v>
      </c>
      <c r="L328">
        <v>2</v>
      </c>
    </row>
    <row r="329" spans="1:12" x14ac:dyDescent="0.2">
      <c r="A329">
        <v>328</v>
      </c>
      <c r="B329" t="s">
        <v>17</v>
      </c>
      <c r="C329" t="s">
        <v>512</v>
      </c>
      <c r="D329" t="s">
        <v>362</v>
      </c>
      <c r="E329">
        <v>19240301201</v>
      </c>
      <c r="F329" t="s">
        <v>35</v>
      </c>
      <c r="G329" t="s">
        <v>519</v>
      </c>
      <c r="H329" t="s">
        <v>520</v>
      </c>
      <c r="I329" t="s">
        <v>520</v>
      </c>
      <c r="J329" t="s">
        <v>519</v>
      </c>
      <c r="K329">
        <v>2</v>
      </c>
      <c r="L329">
        <v>1</v>
      </c>
    </row>
    <row r="330" spans="1:12" x14ac:dyDescent="0.2">
      <c r="A330">
        <v>329</v>
      </c>
      <c r="B330" t="s">
        <v>17</v>
      </c>
      <c r="C330" t="s">
        <v>512</v>
      </c>
      <c r="D330" t="s">
        <v>363</v>
      </c>
      <c r="E330">
        <v>19240307201</v>
      </c>
      <c r="F330" t="s">
        <v>37</v>
      </c>
      <c r="G330" t="s">
        <v>519</v>
      </c>
      <c r="H330" t="s">
        <v>520</v>
      </c>
      <c r="I330" t="s">
        <v>520</v>
      </c>
      <c r="J330" t="s">
        <v>519</v>
      </c>
      <c r="K330">
        <v>2</v>
      </c>
      <c r="L330">
        <v>1</v>
      </c>
    </row>
    <row r="331" spans="1:12" x14ac:dyDescent="0.2">
      <c r="A331">
        <v>330</v>
      </c>
      <c r="B331" t="s">
        <v>17</v>
      </c>
      <c r="C331" t="s">
        <v>512</v>
      </c>
      <c r="D331" t="s">
        <v>364</v>
      </c>
      <c r="E331">
        <v>19240304805</v>
      </c>
      <c r="F331" t="s">
        <v>36</v>
      </c>
      <c r="G331" t="s">
        <v>520</v>
      </c>
      <c r="H331" t="s">
        <v>520</v>
      </c>
      <c r="I331" t="s">
        <v>519</v>
      </c>
      <c r="J331" t="s">
        <v>519</v>
      </c>
      <c r="K331">
        <v>1</v>
      </c>
      <c r="L331">
        <v>1</v>
      </c>
    </row>
    <row r="332" spans="1:12" x14ac:dyDescent="0.2">
      <c r="A332">
        <v>331</v>
      </c>
      <c r="B332" t="s">
        <v>17</v>
      </c>
      <c r="C332" t="s">
        <v>510</v>
      </c>
      <c r="D332" t="s">
        <v>365</v>
      </c>
      <c r="E332">
        <v>19240206703</v>
      </c>
      <c r="F332" t="s">
        <v>35</v>
      </c>
      <c r="G332" t="s">
        <v>520</v>
      </c>
      <c r="H332" t="s">
        <v>520</v>
      </c>
      <c r="I332" t="s">
        <v>520</v>
      </c>
      <c r="J332" t="s">
        <v>519</v>
      </c>
      <c r="K332">
        <v>3</v>
      </c>
      <c r="L332">
        <v>1</v>
      </c>
    </row>
    <row r="333" spans="1:12" x14ac:dyDescent="0.2">
      <c r="A333">
        <v>332</v>
      </c>
      <c r="B333" t="s">
        <v>17</v>
      </c>
      <c r="C333" t="s">
        <v>512</v>
      </c>
      <c r="D333" t="s">
        <v>366</v>
      </c>
      <c r="E333">
        <v>19240302102</v>
      </c>
      <c r="F333" t="s">
        <v>36</v>
      </c>
      <c r="G333" t="s">
        <v>520</v>
      </c>
      <c r="H333" t="s">
        <v>520</v>
      </c>
      <c r="I333" t="s">
        <v>519</v>
      </c>
      <c r="J333" t="s">
        <v>519</v>
      </c>
      <c r="K333">
        <v>1</v>
      </c>
      <c r="L333">
        <v>1</v>
      </c>
    </row>
    <row r="334" spans="1:12" x14ac:dyDescent="0.2">
      <c r="A334">
        <v>333</v>
      </c>
      <c r="B334" t="s">
        <v>17</v>
      </c>
      <c r="C334" t="s">
        <v>512</v>
      </c>
      <c r="D334" t="s">
        <v>367</v>
      </c>
      <c r="E334">
        <v>19240303502</v>
      </c>
      <c r="F334" t="s">
        <v>36</v>
      </c>
      <c r="G334" t="s">
        <v>519</v>
      </c>
      <c r="H334" t="s">
        <v>519</v>
      </c>
      <c r="I334" t="s">
        <v>520</v>
      </c>
      <c r="J334" t="s">
        <v>519</v>
      </c>
      <c r="K334">
        <v>1</v>
      </c>
      <c r="L334">
        <v>1</v>
      </c>
    </row>
    <row r="335" spans="1:12" x14ac:dyDescent="0.2">
      <c r="A335">
        <v>334</v>
      </c>
      <c r="B335" t="s">
        <v>17</v>
      </c>
      <c r="C335" t="s">
        <v>512</v>
      </c>
      <c r="D335" t="s">
        <v>368</v>
      </c>
      <c r="E335">
        <v>19240306103</v>
      </c>
      <c r="F335" t="s">
        <v>36</v>
      </c>
      <c r="G335" t="s">
        <v>519</v>
      </c>
      <c r="H335" t="s">
        <v>520</v>
      </c>
      <c r="I335" t="s">
        <v>520</v>
      </c>
      <c r="J335" t="s">
        <v>519</v>
      </c>
      <c r="K335">
        <v>1</v>
      </c>
      <c r="L335">
        <v>1</v>
      </c>
    </row>
    <row r="336" spans="1:12" x14ac:dyDescent="0.2">
      <c r="A336">
        <v>335</v>
      </c>
      <c r="B336" t="s">
        <v>17</v>
      </c>
      <c r="C336" t="s">
        <v>512</v>
      </c>
      <c r="D336" t="s">
        <v>369</v>
      </c>
      <c r="E336">
        <v>19240300602</v>
      </c>
      <c r="F336" t="s">
        <v>35</v>
      </c>
      <c r="G336" t="s">
        <v>520</v>
      </c>
      <c r="H336" t="s">
        <v>520</v>
      </c>
      <c r="I336" t="s">
        <v>520</v>
      </c>
      <c r="J336" t="s">
        <v>519</v>
      </c>
      <c r="K336">
        <v>0</v>
      </c>
      <c r="L336">
        <v>1</v>
      </c>
    </row>
    <row r="337" spans="1:12" x14ac:dyDescent="0.2">
      <c r="A337">
        <v>336</v>
      </c>
      <c r="B337" t="s">
        <v>17</v>
      </c>
      <c r="C337" t="s">
        <v>512</v>
      </c>
      <c r="D337" t="s">
        <v>370</v>
      </c>
      <c r="E337">
        <v>19240301103</v>
      </c>
      <c r="F337" t="s">
        <v>36</v>
      </c>
      <c r="G337" t="s">
        <v>519</v>
      </c>
      <c r="H337" t="s">
        <v>520</v>
      </c>
      <c r="I337" t="s">
        <v>519</v>
      </c>
      <c r="J337" t="s">
        <v>519</v>
      </c>
      <c r="K337">
        <v>5</v>
      </c>
      <c r="L337">
        <v>3</v>
      </c>
    </row>
    <row r="338" spans="1:12" x14ac:dyDescent="0.2">
      <c r="A338">
        <v>337</v>
      </c>
      <c r="B338" t="s">
        <v>17</v>
      </c>
      <c r="C338" t="s">
        <v>512</v>
      </c>
      <c r="D338" t="s">
        <v>371</v>
      </c>
      <c r="E338">
        <v>19240303002</v>
      </c>
      <c r="F338" t="s">
        <v>37</v>
      </c>
      <c r="G338" t="s">
        <v>520</v>
      </c>
      <c r="H338" t="s">
        <v>519</v>
      </c>
      <c r="I338" t="s">
        <v>520</v>
      </c>
      <c r="J338" t="s">
        <v>519</v>
      </c>
      <c r="K338">
        <v>1</v>
      </c>
      <c r="L338">
        <v>1</v>
      </c>
    </row>
    <row r="339" spans="1:12" x14ac:dyDescent="0.2">
      <c r="A339">
        <v>338</v>
      </c>
      <c r="B339" t="s">
        <v>17</v>
      </c>
      <c r="C339" t="s">
        <v>512</v>
      </c>
      <c r="D339" t="s">
        <v>372</v>
      </c>
      <c r="E339">
        <v>19240302809</v>
      </c>
      <c r="F339" t="s">
        <v>35</v>
      </c>
      <c r="G339" t="s">
        <v>519</v>
      </c>
      <c r="H339" t="s">
        <v>519</v>
      </c>
      <c r="I339" t="s">
        <v>520</v>
      </c>
      <c r="J339" t="s">
        <v>519</v>
      </c>
      <c r="K339">
        <v>4</v>
      </c>
      <c r="L339">
        <v>2</v>
      </c>
    </row>
    <row r="340" spans="1:12" x14ac:dyDescent="0.2">
      <c r="A340">
        <v>339</v>
      </c>
      <c r="B340" t="s">
        <v>17</v>
      </c>
      <c r="C340" t="s">
        <v>512</v>
      </c>
      <c r="D340" t="s">
        <v>373</v>
      </c>
      <c r="E340">
        <v>19240304302</v>
      </c>
      <c r="F340" t="s">
        <v>37</v>
      </c>
      <c r="G340" t="s">
        <v>519</v>
      </c>
      <c r="H340" t="s">
        <v>519</v>
      </c>
      <c r="I340" t="s">
        <v>520</v>
      </c>
      <c r="J340" t="s">
        <v>519</v>
      </c>
      <c r="K340">
        <v>3</v>
      </c>
      <c r="L340">
        <v>2</v>
      </c>
    </row>
    <row r="341" spans="1:12" x14ac:dyDescent="0.2">
      <c r="A341">
        <v>340</v>
      </c>
      <c r="B341" t="s">
        <v>17</v>
      </c>
      <c r="C341" t="s">
        <v>512</v>
      </c>
      <c r="D341" t="s">
        <v>374</v>
      </c>
      <c r="E341">
        <v>19240305704</v>
      </c>
      <c r="F341" t="s">
        <v>36</v>
      </c>
      <c r="G341" t="s">
        <v>519</v>
      </c>
      <c r="H341" t="s">
        <v>520</v>
      </c>
      <c r="I341" t="s">
        <v>520</v>
      </c>
      <c r="J341" t="s">
        <v>519</v>
      </c>
      <c r="K341">
        <v>2</v>
      </c>
      <c r="L341">
        <v>1</v>
      </c>
    </row>
    <row r="342" spans="1:12" x14ac:dyDescent="0.2">
      <c r="A342">
        <v>341</v>
      </c>
      <c r="B342" t="s">
        <v>17</v>
      </c>
      <c r="C342" t="s">
        <v>512</v>
      </c>
      <c r="D342" t="s">
        <v>375</v>
      </c>
      <c r="E342">
        <v>19240307301</v>
      </c>
      <c r="F342" t="s">
        <v>35</v>
      </c>
      <c r="G342" t="s">
        <v>520</v>
      </c>
      <c r="H342" t="s">
        <v>520</v>
      </c>
      <c r="I342" t="s">
        <v>519</v>
      </c>
      <c r="J342" t="s">
        <v>519</v>
      </c>
      <c r="K342">
        <v>1</v>
      </c>
      <c r="L342">
        <v>1</v>
      </c>
    </row>
    <row r="343" spans="1:12" x14ac:dyDescent="0.2">
      <c r="A343">
        <v>342</v>
      </c>
      <c r="B343" t="s">
        <v>17</v>
      </c>
      <c r="C343" t="s">
        <v>512</v>
      </c>
      <c r="D343" t="s">
        <v>376</v>
      </c>
      <c r="E343">
        <v>19240304202</v>
      </c>
      <c r="F343" t="s">
        <v>36</v>
      </c>
      <c r="G343" t="s">
        <v>519</v>
      </c>
      <c r="H343" t="s">
        <v>520</v>
      </c>
      <c r="I343" t="s">
        <v>520</v>
      </c>
      <c r="J343" t="s">
        <v>519</v>
      </c>
      <c r="K343">
        <v>1</v>
      </c>
      <c r="L343">
        <v>1</v>
      </c>
    </row>
    <row r="344" spans="1:12" x14ac:dyDescent="0.2">
      <c r="A344">
        <v>343</v>
      </c>
      <c r="B344" t="s">
        <v>17</v>
      </c>
      <c r="C344" t="s">
        <v>510</v>
      </c>
      <c r="D344" t="s">
        <v>377</v>
      </c>
      <c r="E344">
        <v>19240206402</v>
      </c>
      <c r="F344" t="s">
        <v>36</v>
      </c>
      <c r="G344" t="s">
        <v>520</v>
      </c>
      <c r="H344" t="s">
        <v>520</v>
      </c>
      <c r="I344" t="s">
        <v>519</v>
      </c>
      <c r="J344" t="s">
        <v>519</v>
      </c>
      <c r="K344">
        <v>1</v>
      </c>
      <c r="L344">
        <v>1</v>
      </c>
    </row>
    <row r="345" spans="1:12" x14ac:dyDescent="0.2">
      <c r="A345">
        <v>344</v>
      </c>
      <c r="B345" t="s">
        <v>17</v>
      </c>
      <c r="C345" t="s">
        <v>512</v>
      </c>
      <c r="D345" t="s">
        <v>378</v>
      </c>
      <c r="E345">
        <v>19240300105</v>
      </c>
      <c r="F345" t="s">
        <v>36</v>
      </c>
      <c r="G345" t="s">
        <v>520</v>
      </c>
      <c r="H345" t="s">
        <v>520</v>
      </c>
      <c r="I345" t="s">
        <v>520</v>
      </c>
      <c r="J345" t="s">
        <v>519</v>
      </c>
      <c r="K345">
        <v>1</v>
      </c>
      <c r="L345">
        <v>1</v>
      </c>
    </row>
    <row r="346" spans="1:12" x14ac:dyDescent="0.2">
      <c r="A346">
        <v>345</v>
      </c>
      <c r="B346" t="s">
        <v>17</v>
      </c>
      <c r="C346" t="s">
        <v>512</v>
      </c>
      <c r="D346" t="s">
        <v>379</v>
      </c>
      <c r="E346">
        <v>19240201102</v>
      </c>
      <c r="F346" t="s">
        <v>35</v>
      </c>
      <c r="G346" t="s">
        <v>519</v>
      </c>
      <c r="H346" t="s">
        <v>520</v>
      </c>
      <c r="I346" t="s">
        <v>520</v>
      </c>
      <c r="J346" t="s">
        <v>519</v>
      </c>
      <c r="K346">
        <v>3</v>
      </c>
      <c r="L346">
        <v>1</v>
      </c>
    </row>
    <row r="347" spans="1:12" x14ac:dyDescent="0.2">
      <c r="A347">
        <v>346</v>
      </c>
      <c r="B347" t="s">
        <v>17</v>
      </c>
      <c r="C347" t="s">
        <v>512</v>
      </c>
      <c r="D347" t="s">
        <v>380</v>
      </c>
      <c r="E347">
        <v>19240302203</v>
      </c>
      <c r="F347" t="s">
        <v>36</v>
      </c>
      <c r="G347" t="s">
        <v>520</v>
      </c>
      <c r="H347" t="s">
        <v>520</v>
      </c>
      <c r="I347" t="s">
        <v>520</v>
      </c>
      <c r="J347" t="s">
        <v>519</v>
      </c>
      <c r="K347">
        <v>1</v>
      </c>
      <c r="L347">
        <v>1</v>
      </c>
    </row>
    <row r="348" spans="1:12" x14ac:dyDescent="0.2">
      <c r="A348">
        <v>347</v>
      </c>
      <c r="B348" t="s">
        <v>17</v>
      </c>
      <c r="C348" t="s">
        <v>512</v>
      </c>
      <c r="D348" t="s">
        <v>381</v>
      </c>
      <c r="E348">
        <v>19240304806</v>
      </c>
      <c r="F348" t="s">
        <v>37</v>
      </c>
      <c r="G348" t="s">
        <v>520</v>
      </c>
      <c r="H348" t="s">
        <v>520</v>
      </c>
      <c r="I348" t="s">
        <v>519</v>
      </c>
      <c r="J348" t="s">
        <v>519</v>
      </c>
      <c r="K348">
        <v>1</v>
      </c>
      <c r="L348">
        <v>1</v>
      </c>
    </row>
    <row r="349" spans="1:12" x14ac:dyDescent="0.2">
      <c r="A349">
        <v>348</v>
      </c>
      <c r="B349" t="s">
        <v>17</v>
      </c>
      <c r="C349" t="s">
        <v>512</v>
      </c>
      <c r="D349" t="s">
        <v>382</v>
      </c>
      <c r="E349">
        <v>19240304804</v>
      </c>
      <c r="F349" t="s">
        <v>35</v>
      </c>
      <c r="G349" t="s">
        <v>519</v>
      </c>
      <c r="H349" t="s">
        <v>520</v>
      </c>
      <c r="I349" t="s">
        <v>520</v>
      </c>
      <c r="J349" t="s">
        <v>519</v>
      </c>
      <c r="K349">
        <v>3</v>
      </c>
      <c r="L349">
        <v>2</v>
      </c>
    </row>
    <row r="350" spans="1:12" x14ac:dyDescent="0.2">
      <c r="A350">
        <v>349</v>
      </c>
      <c r="B350" t="s">
        <v>17</v>
      </c>
      <c r="C350" t="s">
        <v>512</v>
      </c>
      <c r="D350" t="s">
        <v>383</v>
      </c>
      <c r="E350">
        <v>19240302805</v>
      </c>
      <c r="F350" t="s">
        <v>37</v>
      </c>
      <c r="G350" t="s">
        <v>520</v>
      </c>
      <c r="H350" t="s">
        <v>519</v>
      </c>
      <c r="I350" t="s">
        <v>520</v>
      </c>
      <c r="J350" t="s">
        <v>519</v>
      </c>
      <c r="K350">
        <v>4</v>
      </c>
      <c r="L350">
        <v>2</v>
      </c>
    </row>
    <row r="351" spans="1:12" x14ac:dyDescent="0.2">
      <c r="A351">
        <v>350</v>
      </c>
      <c r="B351" t="s">
        <v>17</v>
      </c>
      <c r="C351" t="s">
        <v>510</v>
      </c>
      <c r="D351" t="s">
        <v>384</v>
      </c>
      <c r="E351">
        <v>19240204902</v>
      </c>
      <c r="F351" t="s">
        <v>36</v>
      </c>
      <c r="G351" t="s">
        <v>520</v>
      </c>
      <c r="H351" t="s">
        <v>520</v>
      </c>
      <c r="I351" t="s">
        <v>520</v>
      </c>
      <c r="J351" t="s">
        <v>519</v>
      </c>
      <c r="K351">
        <v>1</v>
      </c>
      <c r="L351">
        <v>1</v>
      </c>
    </row>
    <row r="352" spans="1:12" x14ac:dyDescent="0.2">
      <c r="A352">
        <v>351</v>
      </c>
      <c r="B352" t="s">
        <v>17</v>
      </c>
      <c r="C352" t="s">
        <v>512</v>
      </c>
      <c r="D352" t="s">
        <v>385</v>
      </c>
      <c r="E352">
        <v>19240302903</v>
      </c>
      <c r="F352" t="s">
        <v>35</v>
      </c>
      <c r="G352" t="s">
        <v>519</v>
      </c>
      <c r="H352" t="s">
        <v>519</v>
      </c>
      <c r="I352" t="s">
        <v>520</v>
      </c>
      <c r="J352" t="s">
        <v>519</v>
      </c>
      <c r="K352">
        <v>1</v>
      </c>
      <c r="L352">
        <v>1</v>
      </c>
    </row>
    <row r="353" spans="1:12" x14ac:dyDescent="0.2">
      <c r="A353">
        <v>352</v>
      </c>
      <c r="B353" t="s">
        <v>17</v>
      </c>
      <c r="C353" t="s">
        <v>512</v>
      </c>
      <c r="D353" t="s">
        <v>386</v>
      </c>
      <c r="E353">
        <v>19240301004</v>
      </c>
      <c r="F353" t="s">
        <v>36</v>
      </c>
      <c r="G353" t="s">
        <v>520</v>
      </c>
      <c r="H353" t="s">
        <v>519</v>
      </c>
      <c r="I353" t="s">
        <v>520</v>
      </c>
      <c r="J353" t="s">
        <v>519</v>
      </c>
      <c r="K353">
        <v>0</v>
      </c>
      <c r="L353">
        <v>10</v>
      </c>
    </row>
    <row r="354" spans="1:12" x14ac:dyDescent="0.2">
      <c r="A354">
        <v>353</v>
      </c>
      <c r="B354" t="s">
        <v>17</v>
      </c>
      <c r="C354" t="s">
        <v>512</v>
      </c>
      <c r="D354" t="s">
        <v>387</v>
      </c>
      <c r="E354">
        <v>19240202601</v>
      </c>
      <c r="F354" t="s">
        <v>36</v>
      </c>
      <c r="G354" t="s">
        <v>520</v>
      </c>
      <c r="H354" t="s">
        <v>519</v>
      </c>
      <c r="I354" t="s">
        <v>520</v>
      </c>
      <c r="J354" t="s">
        <v>519</v>
      </c>
      <c r="K354">
        <v>1</v>
      </c>
      <c r="L354">
        <v>1</v>
      </c>
    </row>
    <row r="355" spans="1:12" x14ac:dyDescent="0.2">
      <c r="A355">
        <v>354</v>
      </c>
      <c r="B355" t="s">
        <v>17</v>
      </c>
      <c r="C355" t="s">
        <v>512</v>
      </c>
      <c r="D355" t="s">
        <v>388</v>
      </c>
      <c r="E355">
        <v>19240303602</v>
      </c>
      <c r="F355" t="s">
        <v>36</v>
      </c>
      <c r="G355" t="s">
        <v>519</v>
      </c>
      <c r="H355" t="s">
        <v>520</v>
      </c>
      <c r="I355" t="s">
        <v>520</v>
      </c>
      <c r="J355" t="s">
        <v>519</v>
      </c>
      <c r="K355">
        <v>1</v>
      </c>
      <c r="L355">
        <v>1</v>
      </c>
    </row>
    <row r="356" spans="1:12" x14ac:dyDescent="0.2">
      <c r="A356">
        <v>355</v>
      </c>
      <c r="B356" t="s">
        <v>17</v>
      </c>
      <c r="C356" t="s">
        <v>512</v>
      </c>
      <c r="D356" t="s">
        <v>389</v>
      </c>
      <c r="E356">
        <v>19240301304</v>
      </c>
      <c r="F356" t="s">
        <v>35</v>
      </c>
      <c r="G356" t="s">
        <v>520</v>
      </c>
      <c r="H356" t="s">
        <v>519</v>
      </c>
      <c r="I356" t="s">
        <v>520</v>
      </c>
      <c r="J356" t="s">
        <v>519</v>
      </c>
      <c r="K356">
        <v>1</v>
      </c>
      <c r="L356">
        <v>1</v>
      </c>
    </row>
    <row r="357" spans="1:12" x14ac:dyDescent="0.2">
      <c r="A357">
        <v>356</v>
      </c>
      <c r="B357" t="s">
        <v>17</v>
      </c>
      <c r="C357" t="s">
        <v>512</v>
      </c>
      <c r="D357" t="s">
        <v>390</v>
      </c>
      <c r="E357">
        <v>19240303603</v>
      </c>
      <c r="F357" t="s">
        <v>36</v>
      </c>
      <c r="G357" t="s">
        <v>520</v>
      </c>
      <c r="H357" t="s">
        <v>520</v>
      </c>
      <c r="I357" t="s">
        <v>519</v>
      </c>
      <c r="J357" t="s">
        <v>519</v>
      </c>
      <c r="K357">
        <v>1</v>
      </c>
      <c r="L357">
        <v>1</v>
      </c>
    </row>
    <row r="358" spans="1:12" x14ac:dyDescent="0.2">
      <c r="A358">
        <v>357</v>
      </c>
      <c r="B358" t="s">
        <v>17</v>
      </c>
      <c r="C358" t="s">
        <v>512</v>
      </c>
      <c r="D358" t="s">
        <v>391</v>
      </c>
      <c r="E358">
        <v>19240307203</v>
      </c>
      <c r="F358" t="s">
        <v>37</v>
      </c>
      <c r="G358" t="s">
        <v>520</v>
      </c>
      <c r="H358" t="s">
        <v>519</v>
      </c>
      <c r="I358" t="s">
        <v>520</v>
      </c>
      <c r="J358" t="s">
        <v>519</v>
      </c>
      <c r="K358">
        <v>1</v>
      </c>
      <c r="L358">
        <v>1</v>
      </c>
    </row>
    <row r="359" spans="1:12" x14ac:dyDescent="0.2">
      <c r="A359">
        <v>358</v>
      </c>
      <c r="B359" t="s">
        <v>17</v>
      </c>
      <c r="C359" t="s">
        <v>512</v>
      </c>
      <c r="D359" t="s">
        <v>392</v>
      </c>
      <c r="E359">
        <v>19240301603</v>
      </c>
      <c r="F359" t="s">
        <v>35</v>
      </c>
      <c r="G359" t="s">
        <v>520</v>
      </c>
      <c r="H359" t="s">
        <v>520</v>
      </c>
      <c r="I359" t="s">
        <v>519</v>
      </c>
      <c r="J359" t="s">
        <v>519</v>
      </c>
      <c r="K359">
        <v>2</v>
      </c>
      <c r="L359">
        <v>1</v>
      </c>
    </row>
    <row r="360" spans="1:12" x14ac:dyDescent="0.2">
      <c r="A360">
        <v>359</v>
      </c>
      <c r="B360" t="s">
        <v>17</v>
      </c>
      <c r="C360" t="s">
        <v>512</v>
      </c>
      <c r="D360" t="s">
        <v>393</v>
      </c>
      <c r="E360">
        <v>19240304003</v>
      </c>
      <c r="F360" t="s">
        <v>37</v>
      </c>
      <c r="G360" t="s">
        <v>519</v>
      </c>
      <c r="H360" t="s">
        <v>520</v>
      </c>
      <c r="I360" t="s">
        <v>520</v>
      </c>
      <c r="J360" t="s">
        <v>519</v>
      </c>
      <c r="K360">
        <v>3</v>
      </c>
      <c r="L360">
        <v>1</v>
      </c>
    </row>
    <row r="361" spans="1:12" x14ac:dyDescent="0.2">
      <c r="A361">
        <v>360</v>
      </c>
      <c r="B361" t="s">
        <v>17</v>
      </c>
      <c r="C361" t="s">
        <v>510</v>
      </c>
      <c r="D361" t="s">
        <v>394</v>
      </c>
      <c r="E361">
        <v>19240203302</v>
      </c>
      <c r="F361" t="s">
        <v>36</v>
      </c>
      <c r="G361" t="s">
        <v>519</v>
      </c>
      <c r="H361" t="s">
        <v>520</v>
      </c>
      <c r="I361" t="s">
        <v>520</v>
      </c>
      <c r="J361" t="s">
        <v>519</v>
      </c>
      <c r="K361">
        <v>2</v>
      </c>
      <c r="L361">
        <v>1</v>
      </c>
    </row>
    <row r="362" spans="1:12" x14ac:dyDescent="0.2">
      <c r="A362">
        <v>361</v>
      </c>
      <c r="B362" t="s">
        <v>17</v>
      </c>
      <c r="C362" t="s">
        <v>512</v>
      </c>
      <c r="D362" t="s">
        <v>395</v>
      </c>
      <c r="E362">
        <v>19240306901</v>
      </c>
      <c r="F362" t="s">
        <v>35</v>
      </c>
      <c r="G362" t="s">
        <v>520</v>
      </c>
      <c r="H362" t="s">
        <v>520</v>
      </c>
      <c r="I362" t="s">
        <v>519</v>
      </c>
      <c r="J362" t="s">
        <v>519</v>
      </c>
      <c r="K362">
        <v>3</v>
      </c>
      <c r="L362">
        <v>1</v>
      </c>
    </row>
    <row r="363" spans="1:12" x14ac:dyDescent="0.2">
      <c r="A363">
        <v>362</v>
      </c>
      <c r="B363" t="s">
        <v>17</v>
      </c>
      <c r="C363" t="s">
        <v>510</v>
      </c>
      <c r="D363" t="s">
        <v>396</v>
      </c>
      <c r="E363">
        <v>19240202802</v>
      </c>
      <c r="F363" t="s">
        <v>36</v>
      </c>
      <c r="G363" t="s">
        <v>520</v>
      </c>
      <c r="H363" t="s">
        <v>520</v>
      </c>
      <c r="I363" t="s">
        <v>519</v>
      </c>
      <c r="J363" t="s">
        <v>519</v>
      </c>
      <c r="K363">
        <v>1</v>
      </c>
      <c r="L363">
        <v>1</v>
      </c>
    </row>
    <row r="364" spans="1:12" x14ac:dyDescent="0.2">
      <c r="A364">
        <v>363</v>
      </c>
      <c r="B364" t="s">
        <v>17</v>
      </c>
      <c r="C364" t="s">
        <v>512</v>
      </c>
      <c r="D364" t="s">
        <v>397</v>
      </c>
      <c r="E364">
        <v>19240301105</v>
      </c>
      <c r="F364" t="s">
        <v>36</v>
      </c>
      <c r="G364" t="s">
        <v>520</v>
      </c>
      <c r="H364" t="s">
        <v>520</v>
      </c>
      <c r="I364" t="s">
        <v>519</v>
      </c>
      <c r="J364" t="s">
        <v>519</v>
      </c>
      <c r="K364">
        <v>1</v>
      </c>
      <c r="L364">
        <v>1</v>
      </c>
    </row>
    <row r="365" spans="1:12" x14ac:dyDescent="0.2">
      <c r="A365">
        <v>364</v>
      </c>
      <c r="B365" t="s">
        <v>17</v>
      </c>
      <c r="C365" t="s">
        <v>512</v>
      </c>
      <c r="D365" t="s">
        <v>398</v>
      </c>
      <c r="E365">
        <v>19240301106</v>
      </c>
      <c r="F365" t="s">
        <v>36</v>
      </c>
      <c r="G365" t="s">
        <v>520</v>
      </c>
      <c r="H365" t="s">
        <v>519</v>
      </c>
      <c r="I365" t="s">
        <v>520</v>
      </c>
      <c r="J365" t="s">
        <v>519</v>
      </c>
      <c r="K365">
        <v>3</v>
      </c>
      <c r="L365">
        <v>1</v>
      </c>
    </row>
    <row r="366" spans="1:12" x14ac:dyDescent="0.2">
      <c r="A366">
        <v>365</v>
      </c>
      <c r="B366" t="s">
        <v>17</v>
      </c>
      <c r="C366" t="s">
        <v>512</v>
      </c>
      <c r="D366" t="s">
        <v>399</v>
      </c>
      <c r="E366">
        <v>19240301505</v>
      </c>
      <c r="F366" t="s">
        <v>35</v>
      </c>
      <c r="G366" t="s">
        <v>519</v>
      </c>
      <c r="H366" t="s">
        <v>520</v>
      </c>
      <c r="I366" t="s">
        <v>520</v>
      </c>
      <c r="J366" t="s">
        <v>519</v>
      </c>
      <c r="K366">
        <v>0</v>
      </c>
      <c r="L366">
        <v>1</v>
      </c>
    </row>
    <row r="367" spans="1:12" x14ac:dyDescent="0.2">
      <c r="A367">
        <v>366</v>
      </c>
      <c r="B367" t="s">
        <v>17</v>
      </c>
      <c r="C367" t="s">
        <v>512</v>
      </c>
      <c r="D367" t="s">
        <v>400</v>
      </c>
      <c r="E367">
        <v>19240303203</v>
      </c>
      <c r="F367" t="s">
        <v>36</v>
      </c>
      <c r="G367" t="s">
        <v>519</v>
      </c>
      <c r="H367" t="s">
        <v>520</v>
      </c>
      <c r="I367" t="s">
        <v>520</v>
      </c>
      <c r="J367" t="s">
        <v>519</v>
      </c>
      <c r="K367">
        <v>1</v>
      </c>
      <c r="L367">
        <v>1</v>
      </c>
    </row>
    <row r="368" spans="1:12" x14ac:dyDescent="0.2">
      <c r="A368">
        <v>367</v>
      </c>
      <c r="B368" t="s">
        <v>17</v>
      </c>
      <c r="C368" t="s">
        <v>512</v>
      </c>
      <c r="D368" t="s">
        <v>401</v>
      </c>
      <c r="E368">
        <v>19240300702</v>
      </c>
      <c r="F368" t="s">
        <v>37</v>
      </c>
      <c r="G368" t="s">
        <v>520</v>
      </c>
      <c r="H368" t="s">
        <v>519</v>
      </c>
      <c r="I368" t="s">
        <v>520</v>
      </c>
      <c r="J368" t="s">
        <v>519</v>
      </c>
      <c r="K368">
        <v>1</v>
      </c>
      <c r="L368">
        <v>1</v>
      </c>
    </row>
    <row r="369" spans="1:12" x14ac:dyDescent="0.2">
      <c r="A369">
        <v>368</v>
      </c>
      <c r="B369" t="s">
        <v>17</v>
      </c>
      <c r="C369" t="s">
        <v>510</v>
      </c>
      <c r="D369" t="s">
        <v>402</v>
      </c>
      <c r="E369">
        <v>19240201802</v>
      </c>
      <c r="F369" t="s">
        <v>35</v>
      </c>
      <c r="G369" t="s">
        <v>520</v>
      </c>
      <c r="H369" t="s">
        <v>519</v>
      </c>
      <c r="I369" t="s">
        <v>520</v>
      </c>
      <c r="J369" t="s">
        <v>519</v>
      </c>
      <c r="K369">
        <v>2</v>
      </c>
      <c r="L369">
        <v>1</v>
      </c>
    </row>
    <row r="370" spans="1:12" x14ac:dyDescent="0.2">
      <c r="A370">
        <v>369</v>
      </c>
      <c r="B370" t="s">
        <v>17</v>
      </c>
      <c r="C370" t="s">
        <v>512</v>
      </c>
      <c r="D370" t="s">
        <v>403</v>
      </c>
      <c r="E370">
        <v>19240305502</v>
      </c>
      <c r="F370" t="s">
        <v>37</v>
      </c>
      <c r="G370" t="s">
        <v>519</v>
      </c>
      <c r="H370" t="s">
        <v>520</v>
      </c>
      <c r="I370" t="s">
        <v>520</v>
      </c>
      <c r="J370" t="s">
        <v>519</v>
      </c>
      <c r="K370">
        <v>2</v>
      </c>
      <c r="L370">
        <v>2</v>
      </c>
    </row>
    <row r="371" spans="1:12" x14ac:dyDescent="0.2">
      <c r="A371">
        <v>370</v>
      </c>
      <c r="B371" t="s">
        <v>17</v>
      </c>
      <c r="C371" t="s">
        <v>512</v>
      </c>
      <c r="D371" t="s">
        <v>404</v>
      </c>
      <c r="E371">
        <v>19240302101</v>
      </c>
      <c r="F371" t="s">
        <v>36</v>
      </c>
      <c r="G371" t="s">
        <v>520</v>
      </c>
      <c r="H371" t="s">
        <v>519</v>
      </c>
      <c r="I371" t="s">
        <v>520</v>
      </c>
      <c r="J371" t="s">
        <v>519</v>
      </c>
      <c r="K371">
        <v>2</v>
      </c>
      <c r="L371">
        <v>2</v>
      </c>
    </row>
    <row r="372" spans="1:12" x14ac:dyDescent="0.2">
      <c r="A372">
        <v>371</v>
      </c>
      <c r="B372" t="s">
        <v>17</v>
      </c>
      <c r="C372" t="s">
        <v>512</v>
      </c>
      <c r="D372" t="s">
        <v>405</v>
      </c>
      <c r="E372">
        <v>19240303202</v>
      </c>
      <c r="F372" t="s">
        <v>35</v>
      </c>
      <c r="G372" t="s">
        <v>520</v>
      </c>
      <c r="H372" t="s">
        <v>519</v>
      </c>
      <c r="I372" t="s">
        <v>520</v>
      </c>
      <c r="J372" t="s">
        <v>519</v>
      </c>
      <c r="K372">
        <v>1</v>
      </c>
      <c r="L372">
        <v>1</v>
      </c>
    </row>
    <row r="373" spans="1:12" x14ac:dyDescent="0.2">
      <c r="A373">
        <v>372</v>
      </c>
      <c r="B373" t="s">
        <v>17</v>
      </c>
      <c r="C373" t="s">
        <v>512</v>
      </c>
      <c r="D373" t="s">
        <v>406</v>
      </c>
      <c r="E373">
        <v>19240307401</v>
      </c>
      <c r="F373" t="s">
        <v>36</v>
      </c>
      <c r="G373" t="s">
        <v>520</v>
      </c>
      <c r="H373" t="s">
        <v>519</v>
      </c>
      <c r="I373" t="s">
        <v>520</v>
      </c>
      <c r="J373" t="s">
        <v>519</v>
      </c>
      <c r="K373">
        <v>4</v>
      </c>
      <c r="L373">
        <v>3</v>
      </c>
    </row>
    <row r="374" spans="1:12" x14ac:dyDescent="0.2">
      <c r="A374">
        <v>373</v>
      </c>
      <c r="B374" t="s">
        <v>17</v>
      </c>
      <c r="C374" t="s">
        <v>512</v>
      </c>
      <c r="D374" t="s">
        <v>407</v>
      </c>
      <c r="E374">
        <v>19240305702</v>
      </c>
      <c r="F374" t="s">
        <v>36</v>
      </c>
      <c r="G374" t="s">
        <v>520</v>
      </c>
      <c r="H374" t="s">
        <v>520</v>
      </c>
      <c r="I374" t="s">
        <v>519</v>
      </c>
      <c r="J374" t="s">
        <v>519</v>
      </c>
      <c r="K374">
        <v>1</v>
      </c>
      <c r="L374">
        <v>1</v>
      </c>
    </row>
    <row r="375" spans="1:12" x14ac:dyDescent="0.2">
      <c r="A375">
        <v>374</v>
      </c>
      <c r="B375" t="s">
        <v>17</v>
      </c>
      <c r="C375" t="s">
        <v>512</v>
      </c>
      <c r="D375" t="s">
        <v>408</v>
      </c>
      <c r="E375">
        <v>19240301602</v>
      </c>
      <c r="F375" t="s">
        <v>36</v>
      </c>
      <c r="G375" t="s">
        <v>520</v>
      </c>
      <c r="H375" t="s">
        <v>520</v>
      </c>
      <c r="I375" t="s">
        <v>520</v>
      </c>
      <c r="J375" t="s">
        <v>519</v>
      </c>
      <c r="K375">
        <v>12</v>
      </c>
      <c r="L375">
        <v>1</v>
      </c>
    </row>
    <row r="376" spans="1:12" x14ac:dyDescent="0.2">
      <c r="A376">
        <v>375</v>
      </c>
      <c r="B376" t="s">
        <v>17</v>
      </c>
      <c r="C376" t="s">
        <v>512</v>
      </c>
      <c r="D376" t="s">
        <v>409</v>
      </c>
      <c r="E376">
        <v>19240303103</v>
      </c>
      <c r="F376" t="s">
        <v>35</v>
      </c>
      <c r="G376" t="s">
        <v>519</v>
      </c>
      <c r="H376" t="s">
        <v>520</v>
      </c>
      <c r="I376" t="s">
        <v>520</v>
      </c>
      <c r="J376" t="s">
        <v>519</v>
      </c>
      <c r="K376">
        <v>1</v>
      </c>
      <c r="L376">
        <v>1</v>
      </c>
    </row>
    <row r="377" spans="1:12" x14ac:dyDescent="0.2">
      <c r="A377">
        <v>376</v>
      </c>
      <c r="B377" t="s">
        <v>17</v>
      </c>
      <c r="C377" t="s">
        <v>512</v>
      </c>
      <c r="D377" t="s">
        <v>410</v>
      </c>
      <c r="E377">
        <v>19240306302</v>
      </c>
      <c r="F377" t="s">
        <v>36</v>
      </c>
      <c r="G377" t="s">
        <v>519</v>
      </c>
      <c r="H377" t="s">
        <v>520</v>
      </c>
      <c r="I377" t="s">
        <v>520</v>
      </c>
      <c r="J377" t="s">
        <v>519</v>
      </c>
      <c r="K377">
        <v>1</v>
      </c>
      <c r="L377">
        <v>1</v>
      </c>
    </row>
    <row r="378" spans="1:12" x14ac:dyDescent="0.2">
      <c r="A378">
        <v>377</v>
      </c>
      <c r="B378" t="s">
        <v>17</v>
      </c>
      <c r="C378" t="s">
        <v>512</v>
      </c>
      <c r="D378" t="s">
        <v>411</v>
      </c>
      <c r="E378">
        <v>19240306303</v>
      </c>
      <c r="F378" t="s">
        <v>37</v>
      </c>
      <c r="G378" t="s">
        <v>520</v>
      </c>
      <c r="H378" t="s">
        <v>519</v>
      </c>
      <c r="I378" t="s">
        <v>520</v>
      </c>
      <c r="J378" t="s">
        <v>519</v>
      </c>
      <c r="K378">
        <v>1</v>
      </c>
      <c r="L378">
        <v>1</v>
      </c>
    </row>
    <row r="379" spans="1:12" x14ac:dyDescent="0.2">
      <c r="A379">
        <v>378</v>
      </c>
      <c r="B379" t="s">
        <v>17</v>
      </c>
      <c r="C379" t="s">
        <v>512</v>
      </c>
      <c r="D379" t="s">
        <v>412</v>
      </c>
      <c r="E379">
        <v>19240307501</v>
      </c>
      <c r="F379" t="s">
        <v>35</v>
      </c>
      <c r="G379" t="s">
        <v>519</v>
      </c>
      <c r="H379" t="s">
        <v>520</v>
      </c>
      <c r="I379" t="s">
        <v>520</v>
      </c>
      <c r="J379" t="s">
        <v>519</v>
      </c>
      <c r="K379">
        <v>2</v>
      </c>
      <c r="L379">
        <v>2</v>
      </c>
    </row>
    <row r="380" spans="1:12" x14ac:dyDescent="0.2">
      <c r="A380">
        <v>379</v>
      </c>
      <c r="B380" t="s">
        <v>17</v>
      </c>
      <c r="C380" t="s">
        <v>512</v>
      </c>
      <c r="D380" t="s">
        <v>413</v>
      </c>
      <c r="E380">
        <v>19240302402</v>
      </c>
      <c r="F380" t="s">
        <v>37</v>
      </c>
      <c r="G380" t="s">
        <v>519</v>
      </c>
      <c r="H380" t="s">
        <v>520</v>
      </c>
      <c r="I380" t="s">
        <v>520</v>
      </c>
      <c r="J380" t="s">
        <v>519</v>
      </c>
      <c r="K380">
        <v>1</v>
      </c>
      <c r="L380">
        <v>1</v>
      </c>
    </row>
    <row r="381" spans="1:12" x14ac:dyDescent="0.2">
      <c r="A381">
        <v>380</v>
      </c>
      <c r="B381" t="s">
        <v>17</v>
      </c>
      <c r="C381" t="s">
        <v>512</v>
      </c>
      <c r="D381" t="s">
        <v>414</v>
      </c>
      <c r="E381">
        <v>19240302205</v>
      </c>
      <c r="F381" t="s">
        <v>36</v>
      </c>
      <c r="G381" t="s">
        <v>519</v>
      </c>
      <c r="H381" t="s">
        <v>520</v>
      </c>
      <c r="I381" t="s">
        <v>520</v>
      </c>
      <c r="J381" t="s">
        <v>519</v>
      </c>
      <c r="K381">
        <v>2</v>
      </c>
      <c r="L381">
        <v>1</v>
      </c>
    </row>
    <row r="382" spans="1:12" x14ac:dyDescent="0.2">
      <c r="A382">
        <v>381</v>
      </c>
      <c r="B382" t="s">
        <v>17</v>
      </c>
      <c r="C382" t="s">
        <v>512</v>
      </c>
      <c r="D382" t="s">
        <v>415</v>
      </c>
      <c r="E382">
        <v>19240305902</v>
      </c>
      <c r="F382" t="s">
        <v>35</v>
      </c>
      <c r="G382" t="s">
        <v>519</v>
      </c>
      <c r="H382" t="s">
        <v>520</v>
      </c>
      <c r="I382" t="s">
        <v>520</v>
      </c>
      <c r="J382" t="s">
        <v>519</v>
      </c>
      <c r="K382">
        <v>1</v>
      </c>
      <c r="L382">
        <v>1</v>
      </c>
    </row>
    <row r="383" spans="1:12" x14ac:dyDescent="0.2">
      <c r="A383">
        <v>382</v>
      </c>
      <c r="B383" t="s">
        <v>17</v>
      </c>
      <c r="C383" t="s">
        <v>512</v>
      </c>
      <c r="D383" t="s">
        <v>416</v>
      </c>
      <c r="E383">
        <v>19240306501</v>
      </c>
      <c r="F383" t="s">
        <v>36</v>
      </c>
      <c r="G383" t="s">
        <v>519</v>
      </c>
      <c r="H383" t="s">
        <v>520</v>
      </c>
      <c r="I383" t="s">
        <v>519</v>
      </c>
      <c r="J383" t="s">
        <v>519</v>
      </c>
      <c r="K383">
        <v>5</v>
      </c>
      <c r="L383">
        <v>5</v>
      </c>
    </row>
    <row r="384" spans="1:12" x14ac:dyDescent="0.2">
      <c r="A384">
        <v>383</v>
      </c>
      <c r="B384" t="s">
        <v>17</v>
      </c>
      <c r="C384" t="s">
        <v>512</v>
      </c>
      <c r="D384" t="s">
        <v>417</v>
      </c>
      <c r="E384">
        <v>19240306403</v>
      </c>
      <c r="F384" t="s">
        <v>36</v>
      </c>
      <c r="G384" t="s">
        <v>519</v>
      </c>
      <c r="H384" t="s">
        <v>520</v>
      </c>
      <c r="I384" t="s">
        <v>520</v>
      </c>
      <c r="J384" t="s">
        <v>519</v>
      </c>
      <c r="K384">
        <v>1</v>
      </c>
      <c r="L384">
        <v>1</v>
      </c>
    </row>
    <row r="385" spans="1:12" x14ac:dyDescent="0.2">
      <c r="A385">
        <v>384</v>
      </c>
      <c r="B385" t="s">
        <v>17</v>
      </c>
      <c r="C385" t="s">
        <v>512</v>
      </c>
      <c r="D385" t="s">
        <v>418</v>
      </c>
      <c r="E385">
        <v>19240301104</v>
      </c>
      <c r="F385" t="s">
        <v>36</v>
      </c>
      <c r="G385" t="s">
        <v>520</v>
      </c>
      <c r="H385" t="s">
        <v>520</v>
      </c>
      <c r="I385" t="s">
        <v>520</v>
      </c>
      <c r="J385" t="s">
        <v>519</v>
      </c>
      <c r="K385">
        <v>3</v>
      </c>
      <c r="L385">
        <v>2</v>
      </c>
    </row>
    <row r="386" spans="1:12" x14ac:dyDescent="0.2">
      <c r="A386">
        <v>385</v>
      </c>
      <c r="B386" t="s">
        <v>17</v>
      </c>
      <c r="C386" t="s">
        <v>512</v>
      </c>
      <c r="D386" t="s">
        <v>419</v>
      </c>
      <c r="E386">
        <v>19240301005</v>
      </c>
      <c r="F386" t="s">
        <v>35</v>
      </c>
      <c r="G386" t="s">
        <v>519</v>
      </c>
      <c r="H386" t="s">
        <v>520</v>
      </c>
      <c r="I386" t="s">
        <v>520</v>
      </c>
      <c r="J386" t="s">
        <v>519</v>
      </c>
      <c r="K386">
        <v>1</v>
      </c>
      <c r="L386">
        <v>1</v>
      </c>
    </row>
    <row r="387" spans="1:12" x14ac:dyDescent="0.2">
      <c r="A387">
        <v>386</v>
      </c>
      <c r="B387" t="s">
        <v>17</v>
      </c>
      <c r="C387" t="s">
        <v>510</v>
      </c>
      <c r="D387" t="s">
        <v>420</v>
      </c>
      <c r="E387">
        <v>19240200602</v>
      </c>
      <c r="F387" t="s">
        <v>36</v>
      </c>
      <c r="G387" t="s">
        <v>520</v>
      </c>
      <c r="H387" t="s">
        <v>519</v>
      </c>
      <c r="I387" t="s">
        <v>520</v>
      </c>
      <c r="J387" t="s">
        <v>519</v>
      </c>
      <c r="K387">
        <v>1</v>
      </c>
      <c r="L387">
        <v>1</v>
      </c>
    </row>
    <row r="388" spans="1:12" x14ac:dyDescent="0.2">
      <c r="A388">
        <v>387</v>
      </c>
      <c r="B388" t="s">
        <v>17</v>
      </c>
      <c r="C388" t="s">
        <v>512</v>
      </c>
      <c r="D388" t="s">
        <v>421</v>
      </c>
      <c r="E388">
        <v>19240305802</v>
      </c>
      <c r="F388" t="s">
        <v>37</v>
      </c>
      <c r="G388" t="s">
        <v>520</v>
      </c>
      <c r="H388" t="s">
        <v>519</v>
      </c>
      <c r="I388" t="s">
        <v>520</v>
      </c>
      <c r="J388" t="s">
        <v>519</v>
      </c>
      <c r="K388">
        <v>1</v>
      </c>
      <c r="L388">
        <v>1</v>
      </c>
    </row>
    <row r="389" spans="1:12" x14ac:dyDescent="0.2">
      <c r="A389">
        <v>388</v>
      </c>
      <c r="B389" t="s">
        <v>17</v>
      </c>
      <c r="C389" t="s">
        <v>512</v>
      </c>
      <c r="D389" t="s">
        <v>422</v>
      </c>
      <c r="E389">
        <v>19240305803</v>
      </c>
      <c r="F389" t="s">
        <v>35</v>
      </c>
      <c r="G389" t="s">
        <v>520</v>
      </c>
      <c r="H389" t="s">
        <v>520</v>
      </c>
      <c r="I389" t="s">
        <v>520</v>
      </c>
      <c r="J389" t="s">
        <v>519</v>
      </c>
      <c r="K389">
        <v>2</v>
      </c>
      <c r="L389">
        <v>2</v>
      </c>
    </row>
    <row r="390" spans="1:12" x14ac:dyDescent="0.2">
      <c r="A390">
        <v>389</v>
      </c>
      <c r="B390" t="s">
        <v>17</v>
      </c>
      <c r="C390" t="s">
        <v>512</v>
      </c>
      <c r="D390" t="s">
        <v>423</v>
      </c>
      <c r="E390">
        <v>19240305002</v>
      </c>
      <c r="F390" t="s">
        <v>37</v>
      </c>
      <c r="G390" t="s">
        <v>520</v>
      </c>
      <c r="H390" t="s">
        <v>519</v>
      </c>
      <c r="I390" t="s">
        <v>519</v>
      </c>
      <c r="J390" t="s">
        <v>519</v>
      </c>
      <c r="K390">
        <v>1</v>
      </c>
      <c r="L390">
        <v>1</v>
      </c>
    </row>
    <row r="391" spans="1:12" x14ac:dyDescent="0.2">
      <c r="A391">
        <v>390</v>
      </c>
      <c r="B391" t="s">
        <v>17</v>
      </c>
      <c r="C391" t="s">
        <v>512</v>
      </c>
      <c r="D391" t="s">
        <v>424</v>
      </c>
      <c r="E391">
        <v>19240202702</v>
      </c>
      <c r="F391" t="s">
        <v>36</v>
      </c>
      <c r="G391" t="s">
        <v>520</v>
      </c>
      <c r="H391" t="s">
        <v>519</v>
      </c>
      <c r="I391" t="s">
        <v>519</v>
      </c>
      <c r="J391" t="s">
        <v>519</v>
      </c>
      <c r="K391">
        <v>3</v>
      </c>
      <c r="L391">
        <v>1</v>
      </c>
    </row>
    <row r="392" spans="1:12" x14ac:dyDescent="0.2">
      <c r="A392">
        <v>391</v>
      </c>
      <c r="B392" t="s">
        <v>17</v>
      </c>
      <c r="C392" t="s">
        <v>512</v>
      </c>
      <c r="D392" t="s">
        <v>425</v>
      </c>
      <c r="E392">
        <v>19240306002</v>
      </c>
      <c r="F392" t="s">
        <v>35</v>
      </c>
      <c r="G392" t="s">
        <v>520</v>
      </c>
      <c r="H392" t="s">
        <v>519</v>
      </c>
      <c r="I392" t="s">
        <v>520</v>
      </c>
      <c r="J392" t="s">
        <v>519</v>
      </c>
      <c r="K392">
        <v>3</v>
      </c>
      <c r="L392">
        <v>1</v>
      </c>
    </row>
    <row r="393" spans="1:12" x14ac:dyDescent="0.2">
      <c r="A393">
        <v>392</v>
      </c>
      <c r="B393" t="s">
        <v>17</v>
      </c>
      <c r="C393" t="s">
        <v>512</v>
      </c>
      <c r="D393" t="s">
        <v>426</v>
      </c>
      <c r="E393">
        <v>19240303402</v>
      </c>
      <c r="F393" t="s">
        <v>36</v>
      </c>
      <c r="G393" t="s">
        <v>520</v>
      </c>
      <c r="H393" t="s">
        <v>519</v>
      </c>
      <c r="I393" t="s">
        <v>520</v>
      </c>
      <c r="J393" t="s">
        <v>519</v>
      </c>
      <c r="K393">
        <v>1</v>
      </c>
      <c r="L393">
        <v>1</v>
      </c>
    </row>
    <row r="394" spans="1:12" x14ac:dyDescent="0.2">
      <c r="A394">
        <v>393</v>
      </c>
      <c r="B394" t="s">
        <v>17</v>
      </c>
      <c r="C394" t="s">
        <v>512</v>
      </c>
      <c r="D394" t="s">
        <v>427</v>
      </c>
      <c r="E394">
        <v>19240307601</v>
      </c>
      <c r="F394" t="s">
        <v>36</v>
      </c>
      <c r="G394" t="s">
        <v>520</v>
      </c>
      <c r="H394" t="s">
        <v>519</v>
      </c>
      <c r="I394" t="s">
        <v>520</v>
      </c>
      <c r="J394" t="s">
        <v>519</v>
      </c>
      <c r="K394">
        <v>3</v>
      </c>
      <c r="L394">
        <v>1</v>
      </c>
    </row>
    <row r="395" spans="1:12" x14ac:dyDescent="0.2">
      <c r="A395">
        <v>394</v>
      </c>
      <c r="B395" t="s">
        <v>17</v>
      </c>
      <c r="C395" t="s">
        <v>512</v>
      </c>
      <c r="D395" t="s">
        <v>428</v>
      </c>
      <c r="E395">
        <v>19240304102</v>
      </c>
      <c r="F395" t="s">
        <v>36</v>
      </c>
      <c r="G395" t="s">
        <v>520</v>
      </c>
      <c r="H395" t="s">
        <v>520</v>
      </c>
      <c r="I395" t="s">
        <v>520</v>
      </c>
      <c r="J395" t="s">
        <v>519</v>
      </c>
      <c r="K395">
        <v>3</v>
      </c>
      <c r="L395">
        <v>2</v>
      </c>
    </row>
    <row r="396" spans="1:12" x14ac:dyDescent="0.2">
      <c r="A396">
        <v>395</v>
      </c>
      <c r="B396" t="s">
        <v>17</v>
      </c>
      <c r="C396" t="s">
        <v>512</v>
      </c>
      <c r="D396" t="s">
        <v>429</v>
      </c>
      <c r="E396">
        <v>19240302807</v>
      </c>
      <c r="F396" t="s">
        <v>35</v>
      </c>
      <c r="G396" t="s">
        <v>520</v>
      </c>
      <c r="H396" t="s">
        <v>520</v>
      </c>
      <c r="I396" t="s">
        <v>520</v>
      </c>
      <c r="J396" t="s">
        <v>519</v>
      </c>
      <c r="K396">
        <v>3</v>
      </c>
      <c r="L396">
        <v>3</v>
      </c>
    </row>
    <row r="397" spans="1:12" x14ac:dyDescent="0.2">
      <c r="A397">
        <v>396</v>
      </c>
      <c r="B397" t="s">
        <v>17</v>
      </c>
      <c r="C397" t="s">
        <v>510</v>
      </c>
      <c r="D397" t="s">
        <v>430</v>
      </c>
      <c r="E397">
        <v>19240200201</v>
      </c>
      <c r="F397" t="s">
        <v>36</v>
      </c>
      <c r="G397" t="s">
        <v>519</v>
      </c>
      <c r="H397" t="s">
        <v>520</v>
      </c>
      <c r="I397" t="s">
        <v>520</v>
      </c>
      <c r="J397" t="s">
        <v>519</v>
      </c>
      <c r="K397">
        <v>1</v>
      </c>
      <c r="L397">
        <v>1</v>
      </c>
    </row>
    <row r="398" spans="1:12" x14ac:dyDescent="0.2">
      <c r="A398">
        <v>397</v>
      </c>
      <c r="B398" t="s">
        <v>17</v>
      </c>
      <c r="C398" t="s">
        <v>512</v>
      </c>
      <c r="D398" t="s">
        <v>431</v>
      </c>
      <c r="E398">
        <v>19240307701</v>
      </c>
      <c r="F398" t="s">
        <v>37</v>
      </c>
      <c r="G398" t="s">
        <v>519</v>
      </c>
      <c r="H398" t="s">
        <v>519</v>
      </c>
      <c r="I398" t="s">
        <v>520</v>
      </c>
      <c r="J398" t="s">
        <v>519</v>
      </c>
      <c r="K398">
        <v>1</v>
      </c>
      <c r="L398">
        <v>1</v>
      </c>
    </row>
    <row r="399" spans="1:12" x14ac:dyDescent="0.2">
      <c r="A399">
        <v>398</v>
      </c>
      <c r="B399" t="s">
        <v>17</v>
      </c>
      <c r="C399" t="s">
        <v>512</v>
      </c>
      <c r="D399" t="s">
        <v>432</v>
      </c>
      <c r="E399">
        <v>19240304807</v>
      </c>
      <c r="F399" t="s">
        <v>35</v>
      </c>
      <c r="G399" t="s">
        <v>519</v>
      </c>
      <c r="H399" t="s">
        <v>520</v>
      </c>
      <c r="I399" t="s">
        <v>519</v>
      </c>
      <c r="J399" t="s">
        <v>519</v>
      </c>
      <c r="K399">
        <v>3</v>
      </c>
      <c r="L399">
        <v>2</v>
      </c>
    </row>
    <row r="400" spans="1:12" x14ac:dyDescent="0.2">
      <c r="A400">
        <v>399</v>
      </c>
      <c r="B400" t="s">
        <v>17</v>
      </c>
      <c r="C400" t="s">
        <v>512</v>
      </c>
      <c r="D400" t="s">
        <v>433</v>
      </c>
      <c r="E400">
        <v>19240304303</v>
      </c>
      <c r="F400" t="s">
        <v>37</v>
      </c>
      <c r="G400" t="s">
        <v>519</v>
      </c>
      <c r="H400" t="s">
        <v>520</v>
      </c>
      <c r="I400" t="s">
        <v>520</v>
      </c>
      <c r="J400" t="s">
        <v>519</v>
      </c>
      <c r="K400">
        <v>1</v>
      </c>
      <c r="L400">
        <v>3</v>
      </c>
    </row>
    <row r="401" spans="1:12" x14ac:dyDescent="0.2">
      <c r="A401">
        <v>400</v>
      </c>
      <c r="B401" t="s">
        <v>17</v>
      </c>
      <c r="C401" t="s">
        <v>512</v>
      </c>
      <c r="D401" t="s">
        <v>434</v>
      </c>
      <c r="E401">
        <v>19240307801</v>
      </c>
      <c r="F401" t="s">
        <v>36</v>
      </c>
      <c r="G401" t="s">
        <v>519</v>
      </c>
      <c r="H401" t="s">
        <v>520</v>
      </c>
      <c r="I401" t="s">
        <v>520</v>
      </c>
      <c r="J401" t="s">
        <v>519</v>
      </c>
      <c r="K401">
        <v>1</v>
      </c>
      <c r="L401">
        <v>1</v>
      </c>
    </row>
    <row r="402" spans="1:12" x14ac:dyDescent="0.2">
      <c r="A402">
        <v>401</v>
      </c>
      <c r="B402" t="s">
        <v>17</v>
      </c>
      <c r="C402" t="s">
        <v>512</v>
      </c>
      <c r="D402" t="s">
        <v>435</v>
      </c>
      <c r="E402">
        <v>19240304703</v>
      </c>
      <c r="F402" t="s">
        <v>35</v>
      </c>
      <c r="G402" t="s">
        <v>519</v>
      </c>
      <c r="H402" t="s">
        <v>519</v>
      </c>
      <c r="I402" t="s">
        <v>519</v>
      </c>
      <c r="J402" t="s">
        <v>519</v>
      </c>
      <c r="K402">
        <v>1</v>
      </c>
      <c r="L402">
        <v>2</v>
      </c>
    </row>
    <row r="403" spans="1:12" x14ac:dyDescent="0.2">
      <c r="A403">
        <v>402</v>
      </c>
      <c r="B403" t="s">
        <v>17</v>
      </c>
      <c r="C403" t="s">
        <v>512</v>
      </c>
      <c r="D403" t="s">
        <v>436</v>
      </c>
      <c r="E403">
        <v>19240301804</v>
      </c>
      <c r="F403" t="s">
        <v>36</v>
      </c>
      <c r="G403" t="s">
        <v>519</v>
      </c>
      <c r="H403" t="s">
        <v>520</v>
      </c>
      <c r="I403" t="s">
        <v>519</v>
      </c>
      <c r="J403" t="s">
        <v>519</v>
      </c>
      <c r="K403">
        <v>0</v>
      </c>
      <c r="L403">
        <v>18</v>
      </c>
    </row>
    <row r="404" spans="1:12" x14ac:dyDescent="0.2">
      <c r="A404">
        <v>403</v>
      </c>
      <c r="B404" t="s">
        <v>17</v>
      </c>
      <c r="C404" t="s">
        <v>512</v>
      </c>
      <c r="D404" t="s">
        <v>437</v>
      </c>
      <c r="E404">
        <v>19240301702</v>
      </c>
      <c r="F404" t="s">
        <v>36</v>
      </c>
      <c r="G404" t="s">
        <v>520</v>
      </c>
      <c r="H404" t="s">
        <v>519</v>
      </c>
      <c r="I404" t="s">
        <v>520</v>
      </c>
      <c r="J404" t="s">
        <v>519</v>
      </c>
      <c r="K404">
        <v>0</v>
      </c>
      <c r="L404">
        <v>2</v>
      </c>
    </row>
    <row r="405" spans="1:12" x14ac:dyDescent="0.2">
      <c r="A405">
        <v>404</v>
      </c>
      <c r="B405" t="s">
        <v>17</v>
      </c>
      <c r="C405" t="s">
        <v>512</v>
      </c>
      <c r="D405" t="s">
        <v>438</v>
      </c>
      <c r="E405">
        <v>19240305102</v>
      </c>
      <c r="F405" t="s">
        <v>36</v>
      </c>
      <c r="G405" t="s">
        <v>519</v>
      </c>
      <c r="H405" t="s">
        <v>520</v>
      </c>
      <c r="I405" t="s">
        <v>520</v>
      </c>
      <c r="J405" t="s">
        <v>519</v>
      </c>
      <c r="K405">
        <v>1</v>
      </c>
      <c r="L405">
        <v>1</v>
      </c>
    </row>
    <row r="406" spans="1:12" x14ac:dyDescent="0.2">
      <c r="A406">
        <v>405</v>
      </c>
      <c r="B406" t="s">
        <v>17</v>
      </c>
      <c r="C406" t="s">
        <v>512</v>
      </c>
      <c r="D406" t="s">
        <v>439</v>
      </c>
      <c r="E406">
        <v>19240306604</v>
      </c>
      <c r="F406" t="s">
        <v>35</v>
      </c>
      <c r="G406" t="s">
        <v>519</v>
      </c>
      <c r="H406" t="s">
        <v>520</v>
      </c>
      <c r="I406" t="s">
        <v>520</v>
      </c>
      <c r="J406" t="s">
        <v>519</v>
      </c>
      <c r="K406">
        <v>4</v>
      </c>
      <c r="L406">
        <v>4</v>
      </c>
    </row>
    <row r="407" spans="1:12" x14ac:dyDescent="0.2">
      <c r="A407">
        <v>406</v>
      </c>
      <c r="B407" t="s">
        <v>17</v>
      </c>
      <c r="C407" t="s">
        <v>512</v>
      </c>
      <c r="D407" t="s">
        <v>440</v>
      </c>
      <c r="E407">
        <v>19240307202</v>
      </c>
      <c r="F407" t="s">
        <v>36</v>
      </c>
      <c r="G407" t="s">
        <v>519</v>
      </c>
      <c r="H407" t="s">
        <v>520</v>
      </c>
      <c r="I407" t="s">
        <v>520</v>
      </c>
      <c r="J407" t="s">
        <v>519</v>
      </c>
      <c r="K407">
        <v>2</v>
      </c>
      <c r="L407">
        <v>4</v>
      </c>
    </row>
    <row r="408" spans="1:12" x14ac:dyDescent="0.2">
      <c r="A408">
        <v>407</v>
      </c>
      <c r="B408" t="s">
        <v>17</v>
      </c>
      <c r="C408" t="s">
        <v>512</v>
      </c>
      <c r="D408" t="s">
        <v>441</v>
      </c>
      <c r="E408">
        <v>19240301202</v>
      </c>
      <c r="F408" t="s">
        <v>37</v>
      </c>
      <c r="G408" t="s">
        <v>519</v>
      </c>
      <c r="H408" t="s">
        <v>520</v>
      </c>
      <c r="I408" t="s">
        <v>520</v>
      </c>
      <c r="J408" t="s">
        <v>519</v>
      </c>
      <c r="K408">
        <v>1</v>
      </c>
      <c r="L408">
        <v>1</v>
      </c>
    </row>
    <row r="409" spans="1:12" x14ac:dyDescent="0.2">
      <c r="A409">
        <v>408</v>
      </c>
      <c r="B409" t="s">
        <v>17</v>
      </c>
      <c r="C409" t="s">
        <v>512</v>
      </c>
      <c r="D409" t="s">
        <v>442</v>
      </c>
      <c r="E409">
        <v>19240300502</v>
      </c>
      <c r="F409" t="s">
        <v>35</v>
      </c>
      <c r="G409" t="s">
        <v>519</v>
      </c>
      <c r="H409" t="s">
        <v>520</v>
      </c>
      <c r="I409" t="s">
        <v>520</v>
      </c>
      <c r="J409" t="s">
        <v>519</v>
      </c>
      <c r="K409">
        <v>1</v>
      </c>
      <c r="L409">
        <v>1</v>
      </c>
    </row>
    <row r="410" spans="1:12" x14ac:dyDescent="0.2">
      <c r="A410">
        <v>409</v>
      </c>
      <c r="B410" t="s">
        <v>17</v>
      </c>
      <c r="C410" t="s">
        <v>512</v>
      </c>
      <c r="D410" t="s">
        <v>443</v>
      </c>
      <c r="E410">
        <v>19240305202</v>
      </c>
      <c r="F410" t="s">
        <v>37</v>
      </c>
      <c r="G410" t="s">
        <v>519</v>
      </c>
      <c r="H410" t="s">
        <v>519</v>
      </c>
      <c r="I410" t="s">
        <v>520</v>
      </c>
      <c r="J410" t="s">
        <v>519</v>
      </c>
      <c r="K410">
        <v>2</v>
      </c>
      <c r="L410">
        <v>4</v>
      </c>
    </row>
    <row r="411" spans="1:12" x14ac:dyDescent="0.2">
      <c r="A411">
        <v>410</v>
      </c>
      <c r="B411" t="s">
        <v>17</v>
      </c>
      <c r="C411" t="s">
        <v>512</v>
      </c>
      <c r="D411" t="s">
        <v>444</v>
      </c>
      <c r="E411">
        <v>19240305503</v>
      </c>
      <c r="F411" t="s">
        <v>36</v>
      </c>
      <c r="G411" t="s">
        <v>519</v>
      </c>
      <c r="H411" t="s">
        <v>519</v>
      </c>
      <c r="I411" t="s">
        <v>519</v>
      </c>
      <c r="J411" t="s">
        <v>519</v>
      </c>
      <c r="K411">
        <v>1</v>
      </c>
      <c r="L411">
        <v>2</v>
      </c>
    </row>
    <row r="412" spans="1:12" x14ac:dyDescent="0.2">
      <c r="A412">
        <v>411</v>
      </c>
      <c r="B412" t="s">
        <v>17</v>
      </c>
      <c r="C412" t="s">
        <v>512</v>
      </c>
      <c r="D412" t="s">
        <v>445</v>
      </c>
      <c r="E412">
        <v>19240302502</v>
      </c>
      <c r="F412" t="s">
        <v>35</v>
      </c>
      <c r="G412" t="s">
        <v>520</v>
      </c>
      <c r="H412" t="s">
        <v>519</v>
      </c>
      <c r="I412" t="s">
        <v>520</v>
      </c>
      <c r="J412" t="s">
        <v>519</v>
      </c>
      <c r="K412">
        <v>1</v>
      </c>
      <c r="L412">
        <v>1</v>
      </c>
    </row>
    <row r="413" spans="1:12" x14ac:dyDescent="0.2">
      <c r="A413">
        <v>412</v>
      </c>
      <c r="B413" t="s">
        <v>17</v>
      </c>
      <c r="C413" t="s">
        <v>512</v>
      </c>
      <c r="D413" t="s">
        <v>446</v>
      </c>
      <c r="E413">
        <v>19240306003</v>
      </c>
      <c r="F413" t="s">
        <v>36</v>
      </c>
      <c r="G413" t="s">
        <v>520</v>
      </c>
      <c r="H413" t="s">
        <v>519</v>
      </c>
      <c r="I413" t="s">
        <v>520</v>
      </c>
      <c r="J413" t="s">
        <v>519</v>
      </c>
      <c r="K413">
        <v>2</v>
      </c>
      <c r="L413">
        <v>2</v>
      </c>
    </row>
    <row r="414" spans="1:12" x14ac:dyDescent="0.2">
      <c r="A414">
        <v>413</v>
      </c>
      <c r="B414" t="s">
        <v>17</v>
      </c>
      <c r="C414" t="s">
        <v>512</v>
      </c>
      <c r="D414" t="s">
        <v>447</v>
      </c>
      <c r="E414">
        <v>19240306801</v>
      </c>
      <c r="F414" t="s">
        <v>36</v>
      </c>
      <c r="G414" t="s">
        <v>520</v>
      </c>
      <c r="H414" t="s">
        <v>519</v>
      </c>
      <c r="I414" t="s">
        <v>520</v>
      </c>
      <c r="J414" t="s">
        <v>519</v>
      </c>
      <c r="K414">
        <v>3</v>
      </c>
      <c r="L414">
        <v>1</v>
      </c>
    </row>
    <row r="415" spans="1:12" x14ac:dyDescent="0.2">
      <c r="A415">
        <v>414</v>
      </c>
      <c r="B415" t="s">
        <v>17</v>
      </c>
      <c r="C415" t="s">
        <v>512</v>
      </c>
      <c r="D415" t="s">
        <v>448</v>
      </c>
      <c r="E415">
        <v>19240307802</v>
      </c>
      <c r="F415" t="s">
        <v>36</v>
      </c>
      <c r="G415" t="s">
        <v>520</v>
      </c>
      <c r="H415" t="s">
        <v>520</v>
      </c>
      <c r="I415" t="s">
        <v>519</v>
      </c>
      <c r="J415" t="s">
        <v>519</v>
      </c>
      <c r="K415">
        <v>1</v>
      </c>
      <c r="L415">
        <v>1</v>
      </c>
    </row>
    <row r="416" spans="1:12" x14ac:dyDescent="0.2">
      <c r="A416">
        <v>415</v>
      </c>
      <c r="B416" t="s">
        <v>17</v>
      </c>
      <c r="C416" t="s">
        <v>512</v>
      </c>
      <c r="D416" t="s">
        <v>449</v>
      </c>
      <c r="E416">
        <v>19240303104</v>
      </c>
      <c r="F416" t="s">
        <v>35</v>
      </c>
      <c r="G416" t="s">
        <v>519</v>
      </c>
      <c r="H416" t="s">
        <v>519</v>
      </c>
      <c r="I416" t="s">
        <v>520</v>
      </c>
      <c r="J416" t="s">
        <v>519</v>
      </c>
      <c r="K416">
        <v>1</v>
      </c>
      <c r="L416">
        <v>1</v>
      </c>
    </row>
    <row r="417" spans="1:12" x14ac:dyDescent="0.2">
      <c r="A417">
        <v>416</v>
      </c>
      <c r="B417" t="s">
        <v>17</v>
      </c>
      <c r="C417" t="s">
        <v>512</v>
      </c>
      <c r="D417" t="s">
        <v>450</v>
      </c>
      <c r="E417">
        <v>19240303401</v>
      </c>
      <c r="F417" t="s">
        <v>36</v>
      </c>
      <c r="G417" t="s">
        <v>520</v>
      </c>
      <c r="H417" t="s">
        <v>519</v>
      </c>
      <c r="I417" t="s">
        <v>520</v>
      </c>
      <c r="J417" t="s">
        <v>519</v>
      </c>
      <c r="K417">
        <v>1</v>
      </c>
      <c r="L417">
        <v>1</v>
      </c>
    </row>
    <row r="418" spans="1:12" x14ac:dyDescent="0.2">
      <c r="A418">
        <v>417</v>
      </c>
      <c r="B418" t="s">
        <v>17</v>
      </c>
      <c r="C418" t="s">
        <v>512</v>
      </c>
      <c r="D418" t="s">
        <v>451</v>
      </c>
      <c r="E418">
        <v>19240307901</v>
      </c>
      <c r="F418" t="s">
        <v>37</v>
      </c>
      <c r="G418" t="s">
        <v>520</v>
      </c>
      <c r="H418" t="s">
        <v>519</v>
      </c>
      <c r="I418" t="s">
        <v>520</v>
      </c>
      <c r="J418" t="s">
        <v>519</v>
      </c>
      <c r="K418">
        <v>1</v>
      </c>
      <c r="L418">
        <v>1</v>
      </c>
    </row>
    <row r="419" spans="1:12" x14ac:dyDescent="0.2">
      <c r="A419">
        <v>418</v>
      </c>
      <c r="B419" t="s">
        <v>17</v>
      </c>
      <c r="C419" t="s">
        <v>512</v>
      </c>
      <c r="D419" t="s">
        <v>452</v>
      </c>
      <c r="E419">
        <v>19240302403</v>
      </c>
      <c r="F419" t="s">
        <v>35</v>
      </c>
      <c r="G419" t="s">
        <v>519</v>
      </c>
      <c r="H419" t="s">
        <v>520</v>
      </c>
      <c r="I419" t="s">
        <v>520</v>
      </c>
      <c r="J419" t="s">
        <v>519</v>
      </c>
      <c r="K419">
        <v>3</v>
      </c>
      <c r="L419">
        <v>1</v>
      </c>
    </row>
    <row r="420" spans="1:12" x14ac:dyDescent="0.2">
      <c r="A420">
        <v>419</v>
      </c>
      <c r="B420" t="s">
        <v>17</v>
      </c>
      <c r="C420" t="s">
        <v>512</v>
      </c>
      <c r="D420" t="s">
        <v>453</v>
      </c>
      <c r="E420">
        <v>19240302401</v>
      </c>
      <c r="F420" t="s">
        <v>37</v>
      </c>
      <c r="G420" t="s">
        <v>519</v>
      </c>
      <c r="H420" t="s">
        <v>520</v>
      </c>
      <c r="I420" t="s">
        <v>520</v>
      </c>
      <c r="J420" t="s">
        <v>519</v>
      </c>
      <c r="K420">
        <v>3</v>
      </c>
      <c r="L420">
        <v>0</v>
      </c>
    </row>
    <row r="421" spans="1:12" x14ac:dyDescent="0.2">
      <c r="A421">
        <v>420</v>
      </c>
      <c r="B421" t="s">
        <v>17</v>
      </c>
      <c r="C421" t="s">
        <v>512</v>
      </c>
      <c r="D421" t="s">
        <v>454</v>
      </c>
      <c r="E421">
        <v>19240305302</v>
      </c>
      <c r="F421" t="s">
        <v>36</v>
      </c>
      <c r="G421" t="s">
        <v>520</v>
      </c>
      <c r="H421" t="s">
        <v>520</v>
      </c>
      <c r="I421" t="s">
        <v>519</v>
      </c>
      <c r="J421" t="s">
        <v>519</v>
      </c>
      <c r="K421">
        <v>1</v>
      </c>
      <c r="L421">
        <v>1</v>
      </c>
    </row>
    <row r="422" spans="1:12" x14ac:dyDescent="0.2">
      <c r="A422">
        <v>421</v>
      </c>
      <c r="B422" t="s">
        <v>17</v>
      </c>
      <c r="C422" t="s">
        <v>512</v>
      </c>
      <c r="D422" t="s">
        <v>455</v>
      </c>
      <c r="E422">
        <v>19240305003</v>
      </c>
      <c r="F422" t="s">
        <v>35</v>
      </c>
      <c r="G422" t="s">
        <v>519</v>
      </c>
      <c r="H422" t="s">
        <v>520</v>
      </c>
      <c r="I422" t="s">
        <v>520</v>
      </c>
      <c r="J422" t="s">
        <v>519</v>
      </c>
      <c r="K422">
        <v>2</v>
      </c>
      <c r="L422">
        <v>1</v>
      </c>
    </row>
    <row r="423" spans="1:12" x14ac:dyDescent="0.2">
      <c r="A423">
        <v>422</v>
      </c>
      <c r="B423" t="s">
        <v>17</v>
      </c>
      <c r="C423" t="s">
        <v>512</v>
      </c>
      <c r="D423" t="s">
        <v>456</v>
      </c>
      <c r="E423">
        <v>19240308001</v>
      </c>
      <c r="F423" t="s">
        <v>36</v>
      </c>
      <c r="G423" t="s">
        <v>519</v>
      </c>
      <c r="H423" t="s">
        <v>520</v>
      </c>
      <c r="I423" t="s">
        <v>520</v>
      </c>
      <c r="J423" t="s">
        <v>519</v>
      </c>
      <c r="K423">
        <v>2</v>
      </c>
      <c r="L423">
        <v>6</v>
      </c>
    </row>
    <row r="424" spans="1:12" x14ac:dyDescent="0.2">
      <c r="A424">
        <v>423</v>
      </c>
      <c r="B424" t="s">
        <v>17</v>
      </c>
      <c r="C424" t="s">
        <v>512</v>
      </c>
      <c r="D424" t="s">
        <v>457</v>
      </c>
      <c r="E424">
        <v>19240301006</v>
      </c>
      <c r="F424" t="s">
        <v>36</v>
      </c>
      <c r="G424" t="s">
        <v>519</v>
      </c>
      <c r="H424" t="s">
        <v>520</v>
      </c>
      <c r="I424" t="s">
        <v>520</v>
      </c>
      <c r="J424" t="s">
        <v>519</v>
      </c>
      <c r="K424">
        <v>1</v>
      </c>
      <c r="L424">
        <v>1</v>
      </c>
    </row>
    <row r="425" spans="1:12" x14ac:dyDescent="0.2">
      <c r="A425">
        <v>424</v>
      </c>
      <c r="B425" t="s">
        <v>17</v>
      </c>
      <c r="C425" t="s">
        <v>512</v>
      </c>
      <c r="D425" t="s">
        <v>458</v>
      </c>
      <c r="E425">
        <v>19240307902</v>
      </c>
      <c r="F425" t="s">
        <v>36</v>
      </c>
      <c r="G425" t="s">
        <v>519</v>
      </c>
      <c r="H425" t="s">
        <v>520</v>
      </c>
      <c r="I425" t="s">
        <v>520</v>
      </c>
      <c r="J425" t="s">
        <v>519</v>
      </c>
      <c r="K425">
        <v>1</v>
      </c>
      <c r="L425">
        <v>1</v>
      </c>
    </row>
    <row r="426" spans="1:12" x14ac:dyDescent="0.2">
      <c r="A426">
        <v>425</v>
      </c>
      <c r="B426" t="s">
        <v>17</v>
      </c>
      <c r="C426" t="s">
        <v>512</v>
      </c>
      <c r="D426" t="s">
        <v>459</v>
      </c>
      <c r="E426">
        <v>19240300106</v>
      </c>
      <c r="F426" t="s">
        <v>35</v>
      </c>
      <c r="G426" t="s">
        <v>519</v>
      </c>
      <c r="H426" t="s">
        <v>519</v>
      </c>
      <c r="I426" t="s">
        <v>520</v>
      </c>
      <c r="J426" t="s">
        <v>519</v>
      </c>
      <c r="K426">
        <v>3</v>
      </c>
      <c r="L426">
        <v>1</v>
      </c>
    </row>
    <row r="427" spans="1:12" x14ac:dyDescent="0.2">
      <c r="A427">
        <v>426</v>
      </c>
      <c r="B427" t="s">
        <v>17</v>
      </c>
      <c r="C427" t="s">
        <v>512</v>
      </c>
      <c r="D427" t="s">
        <v>460</v>
      </c>
      <c r="E427">
        <v>19240308101</v>
      </c>
      <c r="F427" t="s">
        <v>36</v>
      </c>
      <c r="G427" t="s">
        <v>520</v>
      </c>
      <c r="H427" t="s">
        <v>519</v>
      </c>
      <c r="I427" t="s">
        <v>520</v>
      </c>
      <c r="J427" t="s">
        <v>519</v>
      </c>
      <c r="K427">
        <v>3</v>
      </c>
      <c r="L427">
        <v>2</v>
      </c>
    </row>
    <row r="428" spans="1:12" x14ac:dyDescent="0.2">
      <c r="A428">
        <v>427</v>
      </c>
      <c r="B428" t="s">
        <v>17</v>
      </c>
      <c r="C428" t="s">
        <v>22</v>
      </c>
      <c r="D428" t="s">
        <v>461</v>
      </c>
      <c r="E428">
        <v>19240107302</v>
      </c>
      <c r="F428" t="s">
        <v>37</v>
      </c>
      <c r="G428" t="s">
        <v>520</v>
      </c>
      <c r="H428" t="s">
        <v>519</v>
      </c>
      <c r="I428" t="s">
        <v>520</v>
      </c>
      <c r="J428" t="s">
        <v>519</v>
      </c>
      <c r="K428">
        <v>1</v>
      </c>
      <c r="L428">
        <v>2</v>
      </c>
    </row>
    <row r="429" spans="1:12" x14ac:dyDescent="0.2">
      <c r="A429">
        <v>428</v>
      </c>
      <c r="B429" t="s">
        <v>17</v>
      </c>
      <c r="C429" t="s">
        <v>512</v>
      </c>
      <c r="D429" t="s">
        <v>462</v>
      </c>
      <c r="E429">
        <v>19240301305</v>
      </c>
      <c r="F429" t="s">
        <v>35</v>
      </c>
      <c r="G429" t="s">
        <v>519</v>
      </c>
      <c r="H429" t="s">
        <v>520</v>
      </c>
      <c r="I429" t="s">
        <v>520</v>
      </c>
      <c r="J429" t="s">
        <v>519</v>
      </c>
      <c r="K429">
        <v>1</v>
      </c>
      <c r="L429">
        <v>1</v>
      </c>
    </row>
    <row r="430" spans="1:12" x14ac:dyDescent="0.2">
      <c r="A430">
        <v>429</v>
      </c>
      <c r="B430" t="s">
        <v>17</v>
      </c>
      <c r="C430" t="s">
        <v>512</v>
      </c>
      <c r="D430" t="s">
        <v>463</v>
      </c>
      <c r="E430">
        <v>19240304501</v>
      </c>
      <c r="F430" t="s">
        <v>37</v>
      </c>
      <c r="G430" t="s">
        <v>519</v>
      </c>
      <c r="H430" t="s">
        <v>520</v>
      </c>
      <c r="I430" t="s">
        <v>520</v>
      </c>
      <c r="J430" t="s">
        <v>519</v>
      </c>
      <c r="K430">
        <v>1</v>
      </c>
      <c r="L430">
        <v>1</v>
      </c>
    </row>
    <row r="431" spans="1:12" x14ac:dyDescent="0.2">
      <c r="A431">
        <v>430</v>
      </c>
      <c r="B431" t="s">
        <v>17</v>
      </c>
      <c r="C431" t="s">
        <v>512</v>
      </c>
      <c r="D431" t="s">
        <v>464</v>
      </c>
      <c r="E431">
        <v>19240304601</v>
      </c>
      <c r="F431" t="s">
        <v>36</v>
      </c>
      <c r="G431" t="s">
        <v>520</v>
      </c>
      <c r="H431" t="s">
        <v>519</v>
      </c>
      <c r="I431" t="s">
        <v>520</v>
      </c>
      <c r="J431" t="s">
        <v>519</v>
      </c>
      <c r="K431">
        <v>2</v>
      </c>
      <c r="L431">
        <v>2</v>
      </c>
    </row>
    <row r="432" spans="1:12" x14ac:dyDescent="0.2">
      <c r="A432">
        <v>431</v>
      </c>
      <c r="B432" t="s">
        <v>17</v>
      </c>
      <c r="C432" t="s">
        <v>512</v>
      </c>
      <c r="D432" t="s">
        <v>465</v>
      </c>
      <c r="E432">
        <v>19240303703</v>
      </c>
      <c r="F432" t="s">
        <v>35</v>
      </c>
      <c r="G432" t="s">
        <v>520</v>
      </c>
      <c r="H432" t="s">
        <v>520</v>
      </c>
      <c r="I432" t="s">
        <v>520</v>
      </c>
      <c r="J432" t="s">
        <v>519</v>
      </c>
      <c r="K432">
        <v>2</v>
      </c>
      <c r="L432">
        <v>2</v>
      </c>
    </row>
    <row r="433" spans="1:12" x14ac:dyDescent="0.2">
      <c r="A433">
        <v>432</v>
      </c>
      <c r="B433" t="s">
        <v>17</v>
      </c>
      <c r="C433" t="s">
        <v>512</v>
      </c>
      <c r="D433" t="s">
        <v>466</v>
      </c>
      <c r="E433">
        <v>19240308102</v>
      </c>
      <c r="F433" t="s">
        <v>36</v>
      </c>
      <c r="G433" t="s">
        <v>519</v>
      </c>
      <c r="H433" t="s">
        <v>520</v>
      </c>
      <c r="I433" t="s">
        <v>520</v>
      </c>
      <c r="J433" t="s">
        <v>519</v>
      </c>
      <c r="K433">
        <v>1</v>
      </c>
      <c r="L433">
        <v>1</v>
      </c>
    </row>
    <row r="434" spans="1:12" x14ac:dyDescent="0.2">
      <c r="A434">
        <v>433</v>
      </c>
      <c r="B434" t="s">
        <v>17</v>
      </c>
      <c r="C434" t="s">
        <v>512</v>
      </c>
      <c r="D434" t="s">
        <v>467</v>
      </c>
      <c r="E434">
        <v>19240303105</v>
      </c>
      <c r="F434" t="s">
        <v>36</v>
      </c>
      <c r="G434" t="s">
        <v>519</v>
      </c>
      <c r="H434" t="s">
        <v>520</v>
      </c>
      <c r="I434" t="s">
        <v>520</v>
      </c>
      <c r="J434" t="s">
        <v>519</v>
      </c>
      <c r="K434">
        <v>1</v>
      </c>
      <c r="L434">
        <v>2</v>
      </c>
    </row>
    <row r="435" spans="1:12" x14ac:dyDescent="0.2">
      <c r="A435">
        <v>434</v>
      </c>
      <c r="B435" t="s">
        <v>17</v>
      </c>
      <c r="C435" t="s">
        <v>512</v>
      </c>
      <c r="D435" t="s">
        <v>468</v>
      </c>
      <c r="E435">
        <v>19240305602</v>
      </c>
      <c r="F435" t="s">
        <v>36</v>
      </c>
      <c r="G435" t="s">
        <v>519</v>
      </c>
      <c r="H435" t="s">
        <v>520</v>
      </c>
      <c r="I435" t="s">
        <v>520</v>
      </c>
      <c r="J435" t="s">
        <v>519</v>
      </c>
      <c r="K435">
        <v>3</v>
      </c>
      <c r="L435">
        <v>1</v>
      </c>
    </row>
    <row r="436" spans="1:12" x14ac:dyDescent="0.2">
      <c r="A436">
        <v>435</v>
      </c>
      <c r="B436" t="s">
        <v>17</v>
      </c>
      <c r="C436" t="s">
        <v>512</v>
      </c>
      <c r="D436" t="s">
        <v>469</v>
      </c>
      <c r="E436">
        <v>19240302001</v>
      </c>
      <c r="F436" t="s">
        <v>35</v>
      </c>
      <c r="G436" t="s">
        <v>520</v>
      </c>
      <c r="H436" t="s">
        <v>519</v>
      </c>
      <c r="I436" t="s">
        <v>520</v>
      </c>
      <c r="J436" t="s">
        <v>519</v>
      </c>
      <c r="K436">
        <v>3</v>
      </c>
      <c r="L436">
        <v>1</v>
      </c>
    </row>
    <row r="437" spans="1:12" x14ac:dyDescent="0.2">
      <c r="A437">
        <v>436</v>
      </c>
      <c r="B437" t="s">
        <v>17</v>
      </c>
      <c r="C437" t="s">
        <v>512</v>
      </c>
      <c r="D437" t="s">
        <v>470</v>
      </c>
      <c r="E437">
        <v>19240306204</v>
      </c>
      <c r="F437" t="s">
        <v>36</v>
      </c>
      <c r="G437" t="s">
        <v>519</v>
      </c>
      <c r="H437" t="s">
        <v>519</v>
      </c>
      <c r="I437" t="s">
        <v>520</v>
      </c>
      <c r="J437" t="s">
        <v>519</v>
      </c>
      <c r="K437">
        <v>1</v>
      </c>
      <c r="L437">
        <v>1</v>
      </c>
    </row>
    <row r="438" spans="1:12" x14ac:dyDescent="0.2">
      <c r="A438">
        <v>437</v>
      </c>
      <c r="B438" t="s">
        <v>17</v>
      </c>
      <c r="C438" t="s">
        <v>512</v>
      </c>
      <c r="D438" t="s">
        <v>471</v>
      </c>
      <c r="E438">
        <v>19240306202</v>
      </c>
      <c r="F438" t="s">
        <v>37</v>
      </c>
      <c r="G438" t="s">
        <v>520</v>
      </c>
      <c r="H438" t="s">
        <v>519</v>
      </c>
      <c r="I438" t="s">
        <v>520</v>
      </c>
      <c r="J438" t="s">
        <v>519</v>
      </c>
      <c r="K438">
        <v>2</v>
      </c>
      <c r="L438">
        <v>2</v>
      </c>
    </row>
    <row r="439" spans="1:12" x14ac:dyDescent="0.2">
      <c r="A439">
        <v>438</v>
      </c>
      <c r="B439" t="s">
        <v>17</v>
      </c>
      <c r="C439" t="s">
        <v>512</v>
      </c>
      <c r="D439" t="s">
        <v>472</v>
      </c>
      <c r="E439">
        <v>19240302804</v>
      </c>
      <c r="F439" t="s">
        <v>35</v>
      </c>
      <c r="G439" t="s">
        <v>519</v>
      </c>
      <c r="H439" t="s">
        <v>520</v>
      </c>
      <c r="I439" t="s">
        <v>520</v>
      </c>
      <c r="J439" t="s">
        <v>519</v>
      </c>
      <c r="K439">
        <v>1</v>
      </c>
      <c r="L439">
        <v>1</v>
      </c>
    </row>
    <row r="440" spans="1:12" x14ac:dyDescent="0.2">
      <c r="A440">
        <v>439</v>
      </c>
      <c r="B440" t="s">
        <v>17</v>
      </c>
      <c r="C440" t="s">
        <v>512</v>
      </c>
      <c r="D440" t="s">
        <v>473</v>
      </c>
      <c r="E440">
        <v>19240300904</v>
      </c>
      <c r="F440" t="s">
        <v>37</v>
      </c>
      <c r="G440" t="s">
        <v>520</v>
      </c>
      <c r="H440" t="s">
        <v>519</v>
      </c>
      <c r="I440" t="s">
        <v>520</v>
      </c>
      <c r="J440" t="s">
        <v>519</v>
      </c>
      <c r="K440">
        <v>1</v>
      </c>
      <c r="L440">
        <v>1</v>
      </c>
    </row>
    <row r="441" spans="1:12" x14ac:dyDescent="0.2">
      <c r="A441">
        <v>440</v>
      </c>
      <c r="B441" t="s">
        <v>17</v>
      </c>
      <c r="C441" t="s">
        <v>512</v>
      </c>
      <c r="D441" t="s">
        <v>474</v>
      </c>
      <c r="E441">
        <v>19240300902</v>
      </c>
      <c r="F441" t="s">
        <v>36</v>
      </c>
      <c r="G441" t="s">
        <v>519</v>
      </c>
      <c r="H441" t="s">
        <v>520</v>
      </c>
      <c r="I441" t="s">
        <v>520</v>
      </c>
      <c r="J441" t="s">
        <v>519</v>
      </c>
      <c r="K441">
        <v>3</v>
      </c>
      <c r="L441">
        <v>1</v>
      </c>
    </row>
    <row r="442" spans="1:12" x14ac:dyDescent="0.2">
      <c r="A442">
        <v>441</v>
      </c>
      <c r="B442" t="s">
        <v>17</v>
      </c>
      <c r="C442" t="s">
        <v>512</v>
      </c>
      <c r="D442" t="s">
        <v>475</v>
      </c>
      <c r="E442">
        <v>19240300201</v>
      </c>
      <c r="F442" t="s">
        <v>35</v>
      </c>
      <c r="G442" t="s">
        <v>520</v>
      </c>
      <c r="H442" t="s">
        <v>519</v>
      </c>
      <c r="I442" t="s">
        <v>520</v>
      </c>
      <c r="J442" t="s">
        <v>519</v>
      </c>
      <c r="K442">
        <v>1</v>
      </c>
      <c r="L442">
        <v>1</v>
      </c>
    </row>
    <row r="443" spans="1:12" x14ac:dyDescent="0.2">
      <c r="A443">
        <v>442</v>
      </c>
      <c r="B443" t="s">
        <v>17</v>
      </c>
      <c r="C443" t="s">
        <v>512</v>
      </c>
      <c r="D443" t="s">
        <v>476</v>
      </c>
      <c r="E443">
        <v>19240300802</v>
      </c>
      <c r="F443" t="s">
        <v>36</v>
      </c>
      <c r="G443" t="s">
        <v>520</v>
      </c>
      <c r="H443" t="s">
        <v>519</v>
      </c>
      <c r="I443" t="s">
        <v>520</v>
      </c>
      <c r="J443" t="s">
        <v>519</v>
      </c>
      <c r="K443">
        <v>1</v>
      </c>
      <c r="L443">
        <v>1</v>
      </c>
    </row>
    <row r="444" spans="1:12" x14ac:dyDescent="0.2">
      <c r="A444">
        <v>443</v>
      </c>
      <c r="B444" t="s">
        <v>17</v>
      </c>
      <c r="C444" t="s">
        <v>509</v>
      </c>
      <c r="D444" t="s">
        <v>477</v>
      </c>
      <c r="E444">
        <v>19240400102</v>
      </c>
      <c r="F444" t="s">
        <v>36</v>
      </c>
      <c r="G444" t="s">
        <v>520</v>
      </c>
      <c r="H444" t="s">
        <v>520</v>
      </c>
      <c r="I444" t="s">
        <v>519</v>
      </c>
      <c r="J444" t="s">
        <v>519</v>
      </c>
      <c r="K444">
        <v>1</v>
      </c>
      <c r="L444">
        <v>1</v>
      </c>
    </row>
    <row r="445" spans="1:12" x14ac:dyDescent="0.2">
      <c r="A445">
        <v>444</v>
      </c>
      <c r="B445" t="s">
        <v>17</v>
      </c>
      <c r="C445" t="s">
        <v>509</v>
      </c>
      <c r="D445" t="s">
        <v>478</v>
      </c>
      <c r="E445">
        <v>19240400101</v>
      </c>
      <c r="F445" t="s">
        <v>36</v>
      </c>
      <c r="G445" t="s">
        <v>520</v>
      </c>
      <c r="H445" t="s">
        <v>520</v>
      </c>
      <c r="I445" t="s">
        <v>519</v>
      </c>
      <c r="J445" t="s">
        <v>519</v>
      </c>
      <c r="K445">
        <v>1</v>
      </c>
      <c r="L445">
        <v>1</v>
      </c>
    </row>
    <row r="446" spans="1:12" x14ac:dyDescent="0.2">
      <c r="A446">
        <v>445</v>
      </c>
      <c r="B446" t="s">
        <v>17</v>
      </c>
      <c r="C446" t="s">
        <v>509</v>
      </c>
      <c r="D446" t="s">
        <v>479</v>
      </c>
      <c r="E446">
        <v>19240401402</v>
      </c>
      <c r="F446" t="s">
        <v>35</v>
      </c>
      <c r="G446" t="s">
        <v>520</v>
      </c>
      <c r="H446" t="s">
        <v>520</v>
      </c>
      <c r="I446" t="s">
        <v>519</v>
      </c>
      <c r="J446" t="s">
        <v>519</v>
      </c>
      <c r="K446">
        <v>1</v>
      </c>
      <c r="L446">
        <v>1</v>
      </c>
    </row>
    <row r="447" spans="1:12" x14ac:dyDescent="0.2">
      <c r="A447">
        <v>446</v>
      </c>
      <c r="B447" t="s">
        <v>17</v>
      </c>
      <c r="C447" t="s">
        <v>509</v>
      </c>
      <c r="D447" t="s">
        <v>480</v>
      </c>
      <c r="E447">
        <v>19240400602</v>
      </c>
      <c r="F447" t="s">
        <v>36</v>
      </c>
      <c r="G447" t="s">
        <v>520</v>
      </c>
      <c r="H447" t="s">
        <v>520</v>
      </c>
      <c r="I447" t="s">
        <v>519</v>
      </c>
      <c r="J447" t="s">
        <v>519</v>
      </c>
      <c r="K447">
        <v>1</v>
      </c>
      <c r="L447">
        <v>1</v>
      </c>
    </row>
    <row r="448" spans="1:12" x14ac:dyDescent="0.2">
      <c r="A448">
        <v>447</v>
      </c>
      <c r="B448" t="s">
        <v>17</v>
      </c>
      <c r="C448" t="s">
        <v>509</v>
      </c>
      <c r="D448" t="s">
        <v>481</v>
      </c>
      <c r="E448">
        <v>19240400302</v>
      </c>
      <c r="F448" t="s">
        <v>37</v>
      </c>
      <c r="G448" t="s">
        <v>520</v>
      </c>
      <c r="H448" t="s">
        <v>519</v>
      </c>
      <c r="I448" t="s">
        <v>520</v>
      </c>
      <c r="J448" t="s">
        <v>519</v>
      </c>
      <c r="K448">
        <v>2</v>
      </c>
      <c r="L448">
        <v>2</v>
      </c>
    </row>
    <row r="449" spans="1:12" x14ac:dyDescent="0.2">
      <c r="A449">
        <v>448</v>
      </c>
      <c r="B449" t="s">
        <v>17</v>
      </c>
      <c r="C449" t="s">
        <v>509</v>
      </c>
      <c r="D449" t="s">
        <v>482</v>
      </c>
      <c r="E449">
        <v>19240400301</v>
      </c>
      <c r="F449" t="s">
        <v>35</v>
      </c>
      <c r="G449" t="s">
        <v>520</v>
      </c>
      <c r="H449" t="s">
        <v>520</v>
      </c>
      <c r="I449" t="s">
        <v>519</v>
      </c>
      <c r="J449" t="s">
        <v>519</v>
      </c>
      <c r="K449">
        <v>1</v>
      </c>
      <c r="L449">
        <v>1</v>
      </c>
    </row>
    <row r="450" spans="1:12" x14ac:dyDescent="0.2">
      <c r="A450">
        <v>449</v>
      </c>
      <c r="B450" t="s">
        <v>17</v>
      </c>
      <c r="C450" t="s">
        <v>509</v>
      </c>
      <c r="D450" t="s">
        <v>483</v>
      </c>
      <c r="E450">
        <v>19240400701</v>
      </c>
      <c r="F450" t="s">
        <v>37</v>
      </c>
      <c r="G450" t="s">
        <v>520</v>
      </c>
      <c r="H450" t="s">
        <v>519</v>
      </c>
      <c r="I450" t="s">
        <v>520</v>
      </c>
      <c r="J450" t="s">
        <v>519</v>
      </c>
      <c r="K450">
        <v>3</v>
      </c>
      <c r="L450">
        <v>1</v>
      </c>
    </row>
    <row r="451" spans="1:12" x14ac:dyDescent="0.2">
      <c r="A451">
        <v>450</v>
      </c>
      <c r="B451" t="s">
        <v>17</v>
      </c>
      <c r="C451" t="s">
        <v>509</v>
      </c>
      <c r="D451" t="s">
        <v>484</v>
      </c>
      <c r="E451">
        <v>19240401101</v>
      </c>
      <c r="F451" t="s">
        <v>36</v>
      </c>
      <c r="G451" t="s">
        <v>520</v>
      </c>
      <c r="H451" t="s">
        <v>519</v>
      </c>
      <c r="I451" t="s">
        <v>520</v>
      </c>
      <c r="J451" t="s">
        <v>519</v>
      </c>
      <c r="K451">
        <v>4</v>
      </c>
      <c r="L451">
        <v>2</v>
      </c>
    </row>
    <row r="452" spans="1:12" x14ac:dyDescent="0.2">
      <c r="A452">
        <v>451</v>
      </c>
      <c r="B452" t="s">
        <v>17</v>
      </c>
      <c r="C452" t="s">
        <v>509</v>
      </c>
      <c r="D452" t="s">
        <v>485</v>
      </c>
      <c r="E452">
        <v>19240401301</v>
      </c>
      <c r="F452" t="s">
        <v>35</v>
      </c>
      <c r="G452" t="s">
        <v>520</v>
      </c>
      <c r="H452" t="s">
        <v>520</v>
      </c>
      <c r="I452" t="s">
        <v>519</v>
      </c>
      <c r="J452" t="s">
        <v>519</v>
      </c>
      <c r="K452">
        <v>1</v>
      </c>
      <c r="L452">
        <v>1</v>
      </c>
    </row>
    <row r="453" spans="1:12" x14ac:dyDescent="0.2">
      <c r="A453">
        <v>452</v>
      </c>
      <c r="B453" t="s">
        <v>17</v>
      </c>
      <c r="C453" t="s">
        <v>509</v>
      </c>
      <c r="D453" t="s">
        <v>486</v>
      </c>
      <c r="E453">
        <v>19240400502</v>
      </c>
      <c r="F453" t="s">
        <v>36</v>
      </c>
      <c r="G453" t="s">
        <v>519</v>
      </c>
      <c r="H453" t="s">
        <v>519</v>
      </c>
      <c r="I453" t="s">
        <v>519</v>
      </c>
      <c r="J453" t="s">
        <v>519</v>
      </c>
      <c r="K453">
        <v>0</v>
      </c>
      <c r="L453">
        <v>1</v>
      </c>
    </row>
    <row r="454" spans="1:12" x14ac:dyDescent="0.2">
      <c r="A454">
        <v>453</v>
      </c>
      <c r="B454" t="s">
        <v>17</v>
      </c>
      <c r="C454" t="s">
        <v>509</v>
      </c>
      <c r="D454" t="s">
        <v>487</v>
      </c>
      <c r="E454">
        <v>19240401401</v>
      </c>
      <c r="F454" t="s">
        <v>36</v>
      </c>
      <c r="G454" t="s">
        <v>520</v>
      </c>
      <c r="H454" t="s">
        <v>520</v>
      </c>
      <c r="I454" t="s">
        <v>519</v>
      </c>
      <c r="J454" t="s">
        <v>519</v>
      </c>
      <c r="K454">
        <v>3</v>
      </c>
      <c r="L454">
        <v>1</v>
      </c>
    </row>
    <row r="455" spans="1:12" x14ac:dyDescent="0.2">
      <c r="A455">
        <v>454</v>
      </c>
      <c r="B455" t="s">
        <v>17</v>
      </c>
      <c r="C455" t="s">
        <v>22</v>
      </c>
      <c r="D455" t="s">
        <v>488</v>
      </c>
      <c r="E455">
        <v>19240106903</v>
      </c>
      <c r="F455" t="s">
        <v>36</v>
      </c>
      <c r="G455" t="s">
        <v>519</v>
      </c>
      <c r="H455" t="s">
        <v>520</v>
      </c>
      <c r="I455" t="s">
        <v>520</v>
      </c>
      <c r="J455" t="s">
        <v>519</v>
      </c>
      <c r="K455">
        <v>3</v>
      </c>
      <c r="L455">
        <v>1</v>
      </c>
    </row>
    <row r="456" spans="1:12" x14ac:dyDescent="0.2">
      <c r="A456">
        <v>455</v>
      </c>
      <c r="B456" t="s">
        <v>17</v>
      </c>
      <c r="C456" t="s">
        <v>509</v>
      </c>
      <c r="D456" t="s">
        <v>489</v>
      </c>
      <c r="E456">
        <v>19240401002</v>
      </c>
      <c r="F456" t="s">
        <v>35</v>
      </c>
      <c r="G456" t="s">
        <v>519</v>
      </c>
      <c r="H456" t="s">
        <v>520</v>
      </c>
      <c r="I456" t="s">
        <v>520</v>
      </c>
      <c r="J456" t="s">
        <v>519</v>
      </c>
      <c r="K456">
        <v>1</v>
      </c>
      <c r="L456">
        <v>1</v>
      </c>
    </row>
    <row r="457" spans="1:12" x14ac:dyDescent="0.2">
      <c r="A457">
        <v>456</v>
      </c>
      <c r="B457" t="s">
        <v>17</v>
      </c>
      <c r="C457" t="s">
        <v>509</v>
      </c>
      <c r="D457" t="s">
        <v>490</v>
      </c>
      <c r="E457">
        <v>19240401005</v>
      </c>
      <c r="F457" t="s">
        <v>36</v>
      </c>
      <c r="G457" t="s">
        <v>519</v>
      </c>
      <c r="H457" t="s">
        <v>520</v>
      </c>
      <c r="I457" t="s">
        <v>520</v>
      </c>
      <c r="J457" t="s">
        <v>519</v>
      </c>
      <c r="K457">
        <v>4</v>
      </c>
      <c r="L457">
        <v>4</v>
      </c>
    </row>
    <row r="458" spans="1:12" x14ac:dyDescent="0.2">
      <c r="A458">
        <v>457</v>
      </c>
      <c r="B458" t="s">
        <v>17</v>
      </c>
      <c r="C458" t="s">
        <v>22</v>
      </c>
      <c r="D458" t="s">
        <v>491</v>
      </c>
      <c r="E458">
        <v>19240106402</v>
      </c>
      <c r="F458" t="s">
        <v>37</v>
      </c>
      <c r="G458" t="s">
        <v>519</v>
      </c>
      <c r="H458" t="s">
        <v>519</v>
      </c>
      <c r="I458" t="s">
        <v>520</v>
      </c>
      <c r="J458" t="s">
        <v>519</v>
      </c>
      <c r="K458">
        <v>3</v>
      </c>
      <c r="L458">
        <v>6</v>
      </c>
    </row>
    <row r="459" spans="1:12" x14ac:dyDescent="0.2">
      <c r="A459">
        <v>458</v>
      </c>
      <c r="B459" t="s">
        <v>17</v>
      </c>
      <c r="C459" t="s">
        <v>22</v>
      </c>
      <c r="D459" t="s">
        <v>492</v>
      </c>
      <c r="E459">
        <v>19240105902</v>
      </c>
      <c r="F459" t="s">
        <v>35</v>
      </c>
      <c r="G459" t="s">
        <v>519</v>
      </c>
      <c r="H459" t="s">
        <v>520</v>
      </c>
      <c r="I459" t="s">
        <v>520</v>
      </c>
      <c r="J459" t="s">
        <v>519</v>
      </c>
      <c r="K459">
        <v>1</v>
      </c>
      <c r="L459">
        <v>1</v>
      </c>
    </row>
    <row r="460" spans="1:12" x14ac:dyDescent="0.2">
      <c r="A460">
        <v>459</v>
      </c>
      <c r="B460" t="s">
        <v>17</v>
      </c>
      <c r="C460" t="s">
        <v>22</v>
      </c>
      <c r="D460" t="s">
        <v>493</v>
      </c>
      <c r="E460">
        <v>19240104602</v>
      </c>
      <c r="F460" t="s">
        <v>37</v>
      </c>
      <c r="G460" t="s">
        <v>519</v>
      </c>
      <c r="H460" t="s">
        <v>520</v>
      </c>
      <c r="I460" t="s">
        <v>520</v>
      </c>
      <c r="J460" t="s">
        <v>519</v>
      </c>
      <c r="K460">
        <v>1</v>
      </c>
      <c r="L460">
        <v>1</v>
      </c>
    </row>
    <row r="461" spans="1:12" x14ac:dyDescent="0.2">
      <c r="A461">
        <v>460</v>
      </c>
      <c r="B461" t="s">
        <v>17</v>
      </c>
      <c r="C461" t="s">
        <v>22</v>
      </c>
      <c r="D461" t="s">
        <v>494</v>
      </c>
      <c r="E461">
        <v>19240103502</v>
      </c>
      <c r="F461" t="s">
        <v>36</v>
      </c>
      <c r="G461" t="s">
        <v>519</v>
      </c>
      <c r="H461" t="s">
        <v>520</v>
      </c>
      <c r="I461" t="s">
        <v>520</v>
      </c>
      <c r="J461" t="s">
        <v>519</v>
      </c>
      <c r="K461">
        <v>1</v>
      </c>
      <c r="L461">
        <v>1</v>
      </c>
    </row>
    <row r="462" spans="1:12" x14ac:dyDescent="0.2">
      <c r="A462">
        <v>461</v>
      </c>
      <c r="B462" t="s">
        <v>17</v>
      </c>
      <c r="C462" t="s">
        <v>509</v>
      </c>
      <c r="D462" t="s">
        <v>495</v>
      </c>
      <c r="E462">
        <v>19240401001</v>
      </c>
      <c r="F462" t="s">
        <v>35</v>
      </c>
      <c r="G462" t="s">
        <v>519</v>
      </c>
      <c r="H462" t="s">
        <v>520</v>
      </c>
      <c r="I462" t="s">
        <v>520</v>
      </c>
      <c r="J462" t="s">
        <v>519</v>
      </c>
      <c r="K462">
        <v>2</v>
      </c>
      <c r="L462">
        <v>2</v>
      </c>
    </row>
    <row r="463" spans="1:12" x14ac:dyDescent="0.2">
      <c r="A463">
        <v>462</v>
      </c>
      <c r="B463" t="s">
        <v>17</v>
      </c>
      <c r="C463" t="s">
        <v>509</v>
      </c>
      <c r="D463" t="s">
        <v>496</v>
      </c>
      <c r="E463">
        <v>19240400901</v>
      </c>
      <c r="F463" t="s">
        <v>36</v>
      </c>
      <c r="G463" t="s">
        <v>519</v>
      </c>
      <c r="H463" t="s">
        <v>520</v>
      </c>
      <c r="I463" t="s">
        <v>520</v>
      </c>
      <c r="J463" t="s">
        <v>519</v>
      </c>
      <c r="K463">
        <v>1</v>
      </c>
      <c r="L463">
        <v>1</v>
      </c>
    </row>
    <row r="464" spans="1:12" x14ac:dyDescent="0.2">
      <c r="A464">
        <v>463</v>
      </c>
      <c r="B464" t="s">
        <v>17</v>
      </c>
      <c r="C464" t="s">
        <v>509</v>
      </c>
      <c r="D464" t="s">
        <v>497</v>
      </c>
      <c r="E464">
        <v>19240400902</v>
      </c>
      <c r="F464" t="s">
        <v>36</v>
      </c>
      <c r="G464" t="s">
        <v>519</v>
      </c>
      <c r="H464" t="s">
        <v>520</v>
      </c>
      <c r="I464" t="s">
        <v>520</v>
      </c>
      <c r="J464" t="s">
        <v>519</v>
      </c>
      <c r="K464">
        <v>1</v>
      </c>
      <c r="L464">
        <v>1</v>
      </c>
    </row>
    <row r="465" spans="1:12" x14ac:dyDescent="0.2">
      <c r="A465">
        <v>464</v>
      </c>
      <c r="B465" t="s">
        <v>17</v>
      </c>
      <c r="C465" t="s">
        <v>509</v>
      </c>
      <c r="D465" t="s">
        <v>498</v>
      </c>
      <c r="E465">
        <v>19240401501</v>
      </c>
      <c r="F465" t="s">
        <v>36</v>
      </c>
      <c r="G465" t="s">
        <v>519</v>
      </c>
      <c r="H465" t="s">
        <v>520</v>
      </c>
      <c r="I465" t="s">
        <v>520</v>
      </c>
      <c r="J465" t="s">
        <v>519</v>
      </c>
      <c r="K465">
        <v>4</v>
      </c>
      <c r="L465">
        <v>2</v>
      </c>
    </row>
    <row r="466" spans="1:12" x14ac:dyDescent="0.2">
      <c r="A466">
        <v>465</v>
      </c>
      <c r="B466" t="s">
        <v>17</v>
      </c>
      <c r="C466" t="s">
        <v>509</v>
      </c>
      <c r="D466" t="s">
        <v>499</v>
      </c>
      <c r="E466">
        <v>19240400601</v>
      </c>
      <c r="F466" t="s">
        <v>35</v>
      </c>
      <c r="G466" t="s">
        <v>519</v>
      </c>
      <c r="H466" t="s">
        <v>520</v>
      </c>
      <c r="I466" t="s">
        <v>520</v>
      </c>
      <c r="J466" t="s">
        <v>519</v>
      </c>
      <c r="K466">
        <v>3</v>
      </c>
      <c r="L466">
        <v>3</v>
      </c>
    </row>
    <row r="467" spans="1:12" x14ac:dyDescent="0.2">
      <c r="A467">
        <v>466</v>
      </c>
      <c r="B467" t="s">
        <v>17</v>
      </c>
      <c r="C467" t="s">
        <v>509</v>
      </c>
      <c r="D467" t="s">
        <v>500</v>
      </c>
      <c r="E467">
        <v>19240401502</v>
      </c>
      <c r="F467" t="s">
        <v>36</v>
      </c>
      <c r="G467" t="s">
        <v>520</v>
      </c>
      <c r="H467" t="s">
        <v>519</v>
      </c>
      <c r="I467" t="s">
        <v>520</v>
      </c>
      <c r="J467" t="s">
        <v>519</v>
      </c>
      <c r="K467">
        <v>3</v>
      </c>
      <c r="L467">
        <v>1</v>
      </c>
    </row>
    <row r="468" spans="1:12" x14ac:dyDescent="0.2">
      <c r="A468">
        <v>467</v>
      </c>
      <c r="B468" t="s">
        <v>17</v>
      </c>
      <c r="C468" t="s">
        <v>22</v>
      </c>
      <c r="D468" t="s">
        <v>501</v>
      </c>
      <c r="E468">
        <v>19240101602</v>
      </c>
      <c r="F468" t="s">
        <v>37</v>
      </c>
      <c r="G468" t="s">
        <v>519</v>
      </c>
      <c r="H468" t="s">
        <v>519</v>
      </c>
      <c r="I468" t="s">
        <v>520</v>
      </c>
      <c r="J468" t="s">
        <v>519</v>
      </c>
      <c r="K468">
        <v>1</v>
      </c>
      <c r="L468">
        <v>1</v>
      </c>
    </row>
    <row r="469" spans="1:12" x14ac:dyDescent="0.2">
      <c r="A469">
        <v>468</v>
      </c>
      <c r="B469" t="s">
        <v>17</v>
      </c>
      <c r="C469" t="s">
        <v>22</v>
      </c>
      <c r="D469" t="s">
        <v>502</v>
      </c>
      <c r="E469">
        <v>19240101401</v>
      </c>
      <c r="F469" t="s">
        <v>35</v>
      </c>
      <c r="G469" t="s">
        <v>520</v>
      </c>
      <c r="H469" t="s">
        <v>519</v>
      </c>
      <c r="I469" t="s">
        <v>520</v>
      </c>
      <c r="J469" t="s">
        <v>519</v>
      </c>
      <c r="K469">
        <v>3</v>
      </c>
      <c r="L469">
        <v>1</v>
      </c>
    </row>
    <row r="470" spans="1:12" x14ac:dyDescent="0.2">
      <c r="A470">
        <v>469</v>
      </c>
      <c r="B470" t="s">
        <v>17</v>
      </c>
      <c r="C470" t="s">
        <v>22</v>
      </c>
      <c r="D470" t="s">
        <v>503</v>
      </c>
      <c r="E470">
        <v>19240101101</v>
      </c>
      <c r="F470" t="s">
        <v>37</v>
      </c>
      <c r="G470" t="s">
        <v>519</v>
      </c>
      <c r="H470" t="s">
        <v>520</v>
      </c>
      <c r="I470" t="s">
        <v>520</v>
      </c>
      <c r="J470" t="s">
        <v>519</v>
      </c>
      <c r="K470">
        <v>1</v>
      </c>
      <c r="L470">
        <v>1</v>
      </c>
    </row>
    <row r="471" spans="1:12" x14ac:dyDescent="0.2">
      <c r="A471">
        <v>470</v>
      </c>
      <c r="B471" t="s">
        <v>17</v>
      </c>
      <c r="C471" t="s">
        <v>509</v>
      </c>
      <c r="D471" t="s">
        <v>504</v>
      </c>
      <c r="E471">
        <v>19240401503</v>
      </c>
      <c r="F471" t="s">
        <v>36</v>
      </c>
      <c r="G471" t="s">
        <v>519</v>
      </c>
      <c r="H471" t="s">
        <v>520</v>
      </c>
      <c r="I471" t="s">
        <v>520</v>
      </c>
      <c r="J471" t="s">
        <v>519</v>
      </c>
      <c r="K471">
        <v>3</v>
      </c>
      <c r="L471">
        <v>1</v>
      </c>
    </row>
  </sheetData>
  <dataValidations count="4">
    <dataValidation type="list" allowBlank="1" showInputMessage="1" showErrorMessage="1" sqref="B2:B471" xr:uid="{C31DE9A2-88F2-294D-A443-F7B83F893219}">
      <formula1>"Kalimpong"</formula1>
    </dataValidation>
    <dataValidation type="whole" allowBlank="1" showInputMessage="1" showErrorMessage="1" sqref="E2:E11" xr:uid="{25684375-465F-AD43-B1B9-8C8186DA0BAF}">
      <formula1>19240100000</formula1>
      <formula2>19240409999</formula2>
    </dataValidation>
    <dataValidation type="list" allowBlank="1" showInputMessage="1" showErrorMessage="1" sqref="F2:F471" xr:uid="{AD925D6F-758E-AC4C-8341-0FFA8250AE84}">
      <formula1>"Department of Education, Government Sponsored, Madrasa Recognized"</formula1>
    </dataValidation>
    <dataValidation type="list" allowBlank="1" showInputMessage="1" showErrorMessage="1" sqref="C2:C471" xr:uid="{852F4001-51A4-664B-ABBA-C4A051B4F72F}">
      <formula1>"Kalimpong-I, Kalimpong-II, Gorubathan, Kalimpong Municipality"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Validation</vt:lpstr>
      <vt:lpstr>Conditional Formatting</vt:lpstr>
      <vt:lpstr>IF Statements</vt:lpstr>
      <vt:lpstr>Pivot Tables</vt:lpstr>
      <vt:lpstr>VLOOKUP</vt:lpstr>
      <vt:lpstr>INDEX MATCH</vt:lpstr>
      <vt:lpstr>Enrolment Data</vt:lpstr>
      <vt:lpstr>Infrastructure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Gurjot Sidhu</dc:creator>
  <cp:lastModifiedBy>Gurjot Sidhu</cp:lastModifiedBy>
  <dcterms:created xsi:type="dcterms:W3CDTF">2023-07-23T07:03:32Z</dcterms:created>
  <dcterms:modified xsi:type="dcterms:W3CDTF">2023-07-31T11:14:29Z</dcterms:modified>
</cp:coreProperties>
</file>